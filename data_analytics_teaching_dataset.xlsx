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set" sheetId="1" state="visible" r:id="rId3"/>
    <sheet name="Summary Statistics" sheetId="2" state="visible" r:id="rId4"/>
    <sheet name="Exercises" sheetId="3" state="visible" r:id="rId5"/>
    <sheet name="Data Dictionary" sheetId="4" state="visible" r:id="rId6"/>
  </sheets>
  <definedNames>
    <definedName function="false" hidden="true" localSheetId="0" name="_xlnm._FilterDatabase" vbProcedure="false">'Raw Dataset'!$A$3:$L$103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<sst xmlns="http://schemas.openxmlformats.org/spreadsheetml/2006/main" count="763" uniqueCount="363">
  <si>
    <t xml:space="preserve">🛒  E-Commerce Sales Dataset — Data Analytics Teaching Sample</t>
  </si>
  <si>
    <t xml:space="preserve">Use this dataset to practice: sorting, filtering, pivot tables, VLOOKUP/XLOOKUP, charts, and statistical functions.</t>
  </si>
  <si>
    <t xml:space="preserve">Order ID</t>
  </si>
  <si>
    <t xml:space="preserve">Customer Name</t>
  </si>
  <si>
    <t xml:space="preserve">Region</t>
  </si>
  <si>
    <t xml:space="preserve">Product Category</t>
  </si>
  <si>
    <t xml:space="preserve">Product Name</t>
  </si>
  <si>
    <t xml:space="preserve">Units Sold</t>
  </si>
  <si>
    <t xml:space="preserve">Unit Price ($)</t>
  </si>
  <si>
    <t xml:space="preserve">Revenue ($)</t>
  </si>
  <si>
    <t xml:space="preserve">Discount (%)</t>
  </si>
  <si>
    <t xml:space="preserve">Net Revenue ($)</t>
  </si>
  <si>
    <t xml:space="preserve">Order Date</t>
  </si>
  <si>
    <t xml:space="preserve">Delivery Days</t>
  </si>
  <si>
    <t xml:space="preserve">ORD-1001</t>
  </si>
  <si>
    <t xml:space="preserve">Liam Ndungu</t>
  </si>
  <si>
    <t xml:space="preserve">East</t>
  </si>
  <si>
    <t xml:space="preserve">Electronics</t>
  </si>
  <si>
    <t xml:space="preserve">Laptop</t>
  </si>
  <si>
    <t xml:space="preserve">2024-04-05</t>
  </si>
  <si>
    <t xml:space="preserve">ORD-1002</t>
  </si>
  <si>
    <t xml:space="preserve">David Omondi</t>
  </si>
  <si>
    <t xml:space="preserve">West</t>
  </si>
  <si>
    <t xml:space="preserve">Smartwatch</t>
  </si>
  <si>
    <t xml:space="preserve">2024-01-03</t>
  </si>
  <si>
    <t xml:space="preserve">ORD-1003</t>
  </si>
  <si>
    <t xml:space="preserve">South</t>
  </si>
  <si>
    <t xml:space="preserve">Sports</t>
  </si>
  <si>
    <t xml:space="preserve">Yoga Mat</t>
  </si>
  <si>
    <t xml:space="preserve">2024-12-21</t>
  </si>
  <si>
    <t xml:space="preserve">ORD-1004</t>
  </si>
  <si>
    <t xml:space="preserve">Grace Njeri</t>
  </si>
  <si>
    <t xml:space="preserve">North</t>
  </si>
  <si>
    <t xml:space="preserve">Books</t>
  </si>
  <si>
    <t xml:space="preserve">Statistics Guide</t>
  </si>
  <si>
    <t xml:space="preserve">2024-03-23</t>
  </si>
  <si>
    <t xml:space="preserve">ORD-1005</t>
  </si>
  <si>
    <t xml:space="preserve">Bob Mutua</t>
  </si>
  <si>
    <t xml:space="preserve">Clothing</t>
  </si>
  <si>
    <t xml:space="preserve">Jeans</t>
  </si>
  <si>
    <t xml:space="preserve">2024-02-13</t>
  </si>
  <si>
    <t xml:space="preserve">ORD-1006</t>
  </si>
  <si>
    <t xml:space="preserve">Olivia Chebet</t>
  </si>
  <si>
    <t xml:space="preserve">Dumbbell Set</t>
  </si>
  <si>
    <t xml:space="preserve">2024-09-04</t>
  </si>
  <si>
    <t xml:space="preserve">ORD-1007</t>
  </si>
  <si>
    <t xml:space="preserve">2024-10-07</t>
  </si>
  <si>
    <t xml:space="preserve">ORD-1008</t>
  </si>
  <si>
    <t xml:space="preserve">Eve Kamau</t>
  </si>
  <si>
    <t xml:space="preserve">Jacket</t>
  </si>
  <si>
    <t xml:space="preserve">ORD-1009</t>
  </si>
  <si>
    <t xml:space="preserve">2024-11-09</t>
  </si>
  <si>
    <t xml:space="preserve">ORD-1010</t>
  </si>
  <si>
    <t xml:space="preserve">Running Shoes</t>
  </si>
  <si>
    <t xml:space="preserve">2024-07-09</t>
  </si>
  <si>
    <t xml:space="preserve">ORD-1011</t>
  </si>
  <si>
    <t xml:space="preserve">Smartphone</t>
  </si>
  <si>
    <t xml:space="preserve">ORD-1012</t>
  </si>
  <si>
    <t xml:space="preserve">Carol Wanjiku</t>
  </si>
  <si>
    <t xml:space="preserve">Dress</t>
  </si>
  <si>
    <t xml:space="preserve">2024-03-09</t>
  </si>
  <si>
    <t xml:space="preserve">ORD-1013</t>
  </si>
  <si>
    <t xml:space="preserve">Frank Otieno</t>
  </si>
  <si>
    <t xml:space="preserve">2024-10-13</t>
  </si>
  <si>
    <t xml:space="preserve">ORD-1014</t>
  </si>
  <si>
    <t xml:space="preserve">Karen Waweru</t>
  </si>
  <si>
    <t xml:space="preserve">Cycling Helmet</t>
  </si>
  <si>
    <t xml:space="preserve">2024-02-05</t>
  </si>
  <si>
    <t xml:space="preserve">ORD-1015</t>
  </si>
  <si>
    <t xml:space="preserve">Irene Achieng</t>
  </si>
  <si>
    <t xml:space="preserve">2024-10-15</t>
  </si>
  <si>
    <t xml:space="preserve">ORD-1016</t>
  </si>
  <si>
    <t xml:space="preserve">2024-11-11</t>
  </si>
  <si>
    <t xml:space="preserve">ORD-1017</t>
  </si>
  <si>
    <t xml:space="preserve">2024-09-25</t>
  </si>
  <si>
    <t xml:space="preserve">ORD-1018</t>
  </si>
  <si>
    <t xml:space="preserve">Jump Rope</t>
  </si>
  <si>
    <t xml:space="preserve">2024-06-25</t>
  </si>
  <si>
    <t xml:space="preserve">ORD-1019</t>
  </si>
  <si>
    <t xml:space="preserve">Alice Johnson</t>
  </si>
  <si>
    <t xml:space="preserve">Python Basics</t>
  </si>
  <si>
    <t xml:space="preserve">2024-05-08</t>
  </si>
  <si>
    <t xml:space="preserve">ORD-1020</t>
  </si>
  <si>
    <t xml:space="preserve">Headphones</t>
  </si>
  <si>
    <t xml:space="preserve">2024-03-05</t>
  </si>
  <si>
    <t xml:space="preserve">ORD-1021</t>
  </si>
  <si>
    <t xml:space="preserve">2024-07-07</t>
  </si>
  <si>
    <t xml:space="preserve">ORD-1022</t>
  </si>
  <si>
    <t xml:space="preserve">Excel Mastery</t>
  </si>
  <si>
    <t xml:space="preserve">2024-08-04</t>
  </si>
  <si>
    <t xml:space="preserve">ORD-1023</t>
  </si>
  <si>
    <t xml:space="preserve">Home &amp; Living</t>
  </si>
  <si>
    <t xml:space="preserve">Sofa</t>
  </si>
  <si>
    <t xml:space="preserve">2024-04-19</t>
  </si>
  <si>
    <t xml:space="preserve">ORD-1024</t>
  </si>
  <si>
    <t xml:space="preserve">2024-06-03</t>
  </si>
  <si>
    <t xml:space="preserve">ORD-1025</t>
  </si>
  <si>
    <t xml:space="preserve">James Kariuki</t>
  </si>
  <si>
    <t xml:space="preserve">Data Science 101</t>
  </si>
  <si>
    <t xml:space="preserve">2024-12-19</t>
  </si>
  <si>
    <t xml:space="preserve">ORD-1026</t>
  </si>
  <si>
    <t xml:space="preserve">AI for Everyone</t>
  </si>
  <si>
    <t xml:space="preserve">2024-02-22</t>
  </si>
  <si>
    <t xml:space="preserve">ORD-1027</t>
  </si>
  <si>
    <t xml:space="preserve">2024-01-13</t>
  </si>
  <si>
    <t xml:space="preserve">ORD-1028</t>
  </si>
  <si>
    <t xml:space="preserve">2024-08-05</t>
  </si>
  <si>
    <t xml:space="preserve">ORD-1029</t>
  </si>
  <si>
    <t xml:space="preserve">ORD-1030</t>
  </si>
  <si>
    <t xml:space="preserve">Noah Kiptoo</t>
  </si>
  <si>
    <t xml:space="preserve">2024-08-07</t>
  </si>
  <si>
    <t xml:space="preserve">ORD-1031</t>
  </si>
  <si>
    <t xml:space="preserve">Mia Gitau</t>
  </si>
  <si>
    <t xml:space="preserve">2024-05-26</t>
  </si>
  <si>
    <t xml:space="preserve">ORD-1032</t>
  </si>
  <si>
    <t xml:space="preserve">2024-04-10</t>
  </si>
  <si>
    <t xml:space="preserve">ORD-1033</t>
  </si>
  <si>
    <t xml:space="preserve">Tablet</t>
  </si>
  <si>
    <t xml:space="preserve">2024-10-16</t>
  </si>
  <si>
    <t xml:space="preserve">ORD-1034</t>
  </si>
  <si>
    <t xml:space="preserve">2024-10-03</t>
  </si>
  <si>
    <t xml:space="preserve">ORD-1035</t>
  </si>
  <si>
    <t xml:space="preserve">2024-10-02</t>
  </si>
  <si>
    <t xml:space="preserve">ORD-1036</t>
  </si>
  <si>
    <t xml:space="preserve">2024-05-07</t>
  </si>
  <si>
    <t xml:space="preserve">ORD-1037</t>
  </si>
  <si>
    <t xml:space="preserve">Curtains</t>
  </si>
  <si>
    <t xml:space="preserve">2024-08-11</t>
  </si>
  <si>
    <t xml:space="preserve">ORD-1038</t>
  </si>
  <si>
    <t xml:space="preserve">2024-02-18</t>
  </si>
  <si>
    <t xml:space="preserve">ORD-1039</t>
  </si>
  <si>
    <t xml:space="preserve">Henry Mwangi</t>
  </si>
  <si>
    <t xml:space="preserve">2024-05-06</t>
  </si>
  <si>
    <t xml:space="preserve">ORD-1040</t>
  </si>
  <si>
    <t xml:space="preserve">ORD-1041</t>
  </si>
  <si>
    <t xml:space="preserve">2024-04-23</t>
  </si>
  <si>
    <t xml:space="preserve">ORD-1042</t>
  </si>
  <si>
    <t xml:space="preserve">2024-02-21</t>
  </si>
  <si>
    <t xml:space="preserve">ORD-1043</t>
  </si>
  <si>
    <t xml:space="preserve">2024-03-24</t>
  </si>
  <si>
    <t xml:space="preserve">ORD-1044</t>
  </si>
  <si>
    <t xml:space="preserve">2024-09-02</t>
  </si>
  <si>
    <t xml:space="preserve">ORD-1045</t>
  </si>
  <si>
    <t xml:space="preserve">2024-05-12</t>
  </si>
  <si>
    <t xml:space="preserve">ORD-1046</t>
  </si>
  <si>
    <t xml:space="preserve">2024-09-28</t>
  </si>
  <si>
    <t xml:space="preserve">ORD-1047</t>
  </si>
  <si>
    <t xml:space="preserve">ORD-1048</t>
  </si>
  <si>
    <t xml:space="preserve">2024-07-28</t>
  </si>
  <si>
    <t xml:space="preserve">ORD-1049</t>
  </si>
  <si>
    <t xml:space="preserve">2024-04-08</t>
  </si>
  <si>
    <t xml:space="preserve">ORD-1050</t>
  </si>
  <si>
    <t xml:space="preserve">Blender</t>
  </si>
  <si>
    <t xml:space="preserve">2024-06-21</t>
  </si>
  <si>
    <t xml:space="preserve">ORD-1051</t>
  </si>
  <si>
    <t xml:space="preserve">2024-03-19</t>
  </si>
  <si>
    <t xml:space="preserve">ORD-1052</t>
  </si>
  <si>
    <t xml:space="preserve">2024-07-20</t>
  </si>
  <si>
    <t xml:space="preserve">ORD-1053</t>
  </si>
  <si>
    <t xml:space="preserve">2024-12-14</t>
  </si>
  <si>
    <t xml:space="preserve">ORD-1054</t>
  </si>
  <si>
    <t xml:space="preserve">2024-06-22</t>
  </si>
  <si>
    <t xml:space="preserve">ORD-1055</t>
  </si>
  <si>
    <t xml:space="preserve">2024-07-23</t>
  </si>
  <si>
    <t xml:space="preserve">ORD-1056</t>
  </si>
  <si>
    <t xml:space="preserve">2024-10-10</t>
  </si>
  <si>
    <t xml:space="preserve">ORD-1057</t>
  </si>
  <si>
    <t xml:space="preserve">Desk Lamp</t>
  </si>
  <si>
    <t xml:space="preserve">2024-10-21</t>
  </si>
  <si>
    <t xml:space="preserve">ORD-1058</t>
  </si>
  <si>
    <t xml:space="preserve">2024-12-06</t>
  </si>
  <si>
    <t xml:space="preserve">ORD-1059</t>
  </si>
  <si>
    <t xml:space="preserve">2024-04-22</t>
  </si>
  <si>
    <t xml:space="preserve">ORD-1060</t>
  </si>
  <si>
    <t xml:space="preserve">T-Shirt</t>
  </si>
  <si>
    <t xml:space="preserve">2024-08-20</t>
  </si>
  <si>
    <t xml:space="preserve">ORD-1061</t>
  </si>
  <si>
    <t xml:space="preserve">2024-08-13</t>
  </si>
  <si>
    <t xml:space="preserve">ORD-1062</t>
  </si>
  <si>
    <t xml:space="preserve">2024-12-17</t>
  </si>
  <si>
    <t xml:space="preserve">ORD-1063</t>
  </si>
  <si>
    <t xml:space="preserve">2024-08-22</t>
  </si>
  <si>
    <t xml:space="preserve">ORD-1064</t>
  </si>
  <si>
    <t xml:space="preserve">2024-08-06</t>
  </si>
  <si>
    <t xml:space="preserve">ORD-1065</t>
  </si>
  <si>
    <t xml:space="preserve">2024-08-21</t>
  </si>
  <si>
    <t xml:space="preserve">ORD-1066</t>
  </si>
  <si>
    <t xml:space="preserve">2024-06-11</t>
  </si>
  <si>
    <t xml:space="preserve">ORD-1067</t>
  </si>
  <si>
    <t xml:space="preserve">2024-12-07</t>
  </si>
  <si>
    <t xml:space="preserve">ORD-1068</t>
  </si>
  <si>
    <t xml:space="preserve">Wall Clock</t>
  </si>
  <si>
    <t xml:space="preserve">2024-01-07</t>
  </si>
  <si>
    <t xml:space="preserve">ORD-1069</t>
  </si>
  <si>
    <t xml:space="preserve">2024-08-01</t>
  </si>
  <si>
    <t xml:space="preserve">ORD-1070</t>
  </si>
  <si>
    <t xml:space="preserve">2024-04-16</t>
  </si>
  <si>
    <t xml:space="preserve">ORD-1071</t>
  </si>
  <si>
    <t xml:space="preserve">2024-11-22</t>
  </si>
  <si>
    <t xml:space="preserve">ORD-1072</t>
  </si>
  <si>
    <t xml:space="preserve">ORD-1073</t>
  </si>
  <si>
    <t xml:space="preserve">2024-01-09</t>
  </si>
  <si>
    <t xml:space="preserve">ORD-1074</t>
  </si>
  <si>
    <t xml:space="preserve">2024-05-25</t>
  </si>
  <si>
    <t xml:space="preserve">ORD-1075</t>
  </si>
  <si>
    <t xml:space="preserve">2024-01-12</t>
  </si>
  <si>
    <t xml:space="preserve">ORD-1076</t>
  </si>
  <si>
    <t xml:space="preserve">2024-10-05</t>
  </si>
  <si>
    <t xml:space="preserve">ORD-1077</t>
  </si>
  <si>
    <t xml:space="preserve">2024-12-09</t>
  </si>
  <si>
    <t xml:space="preserve">ORD-1078</t>
  </si>
  <si>
    <t xml:space="preserve">2024-05-04</t>
  </si>
  <si>
    <t xml:space="preserve">ORD-1079</t>
  </si>
  <si>
    <t xml:space="preserve">2024-02-19</t>
  </si>
  <si>
    <t xml:space="preserve">ORD-1080</t>
  </si>
  <si>
    <t xml:space="preserve">ORD-1081</t>
  </si>
  <si>
    <t xml:space="preserve">2024-07-27</t>
  </si>
  <si>
    <t xml:space="preserve">ORD-1082</t>
  </si>
  <si>
    <t xml:space="preserve">ORD-1083</t>
  </si>
  <si>
    <t xml:space="preserve">2024-05-11</t>
  </si>
  <si>
    <t xml:space="preserve">ORD-1084</t>
  </si>
  <si>
    <t xml:space="preserve">2024-10-20</t>
  </si>
  <si>
    <t xml:space="preserve">ORD-1085</t>
  </si>
  <si>
    <t xml:space="preserve">ORD-1086</t>
  </si>
  <si>
    <t xml:space="preserve">2024-01-17</t>
  </si>
  <si>
    <t xml:space="preserve">ORD-1087</t>
  </si>
  <si>
    <t xml:space="preserve">2024-12-16</t>
  </si>
  <si>
    <t xml:space="preserve">ORD-1088</t>
  </si>
  <si>
    <t xml:space="preserve">ORD-1089</t>
  </si>
  <si>
    <t xml:space="preserve">2024-07-24</t>
  </si>
  <si>
    <t xml:space="preserve">ORD-1090</t>
  </si>
  <si>
    <t xml:space="preserve">2024-04-04</t>
  </si>
  <si>
    <t xml:space="preserve">ORD-1091</t>
  </si>
  <si>
    <t xml:space="preserve">2024-04-24</t>
  </si>
  <si>
    <t xml:space="preserve">ORD-1092</t>
  </si>
  <si>
    <t xml:space="preserve">ORD-1093</t>
  </si>
  <si>
    <t xml:space="preserve">2024-01-02</t>
  </si>
  <si>
    <t xml:space="preserve">ORD-1094</t>
  </si>
  <si>
    <t xml:space="preserve">2024-05-16</t>
  </si>
  <si>
    <t xml:space="preserve">ORD-1095</t>
  </si>
  <si>
    <t xml:space="preserve">2024-02-27</t>
  </si>
  <si>
    <t xml:space="preserve">ORD-1096</t>
  </si>
  <si>
    <t xml:space="preserve">2024-03-26</t>
  </si>
  <si>
    <t xml:space="preserve">ORD-1097</t>
  </si>
  <si>
    <t xml:space="preserve">ORD-1098</t>
  </si>
  <si>
    <t xml:space="preserve">2024-10-14</t>
  </si>
  <si>
    <t xml:space="preserve">ORD-1099</t>
  </si>
  <si>
    <t xml:space="preserve">2024-03-08</t>
  </si>
  <si>
    <t xml:space="preserve">ORD-1100</t>
  </si>
  <si>
    <t xml:space="preserve">2024-08-10</t>
  </si>
  <si>
    <t xml:space="preserve">📊  Summary Statistics — Practice Statistical Functions</t>
  </si>
  <si>
    <t xml:space="preserve">Metric</t>
  </si>
  <si>
    <t xml:space="preserve">Value</t>
  </si>
  <si>
    <t xml:space="preserve">Formula Used</t>
  </si>
  <si>
    <t xml:space="preserve">Total Revenue ($)</t>
  </si>
  <si>
    <t xml:space="preserve">Total Orders</t>
  </si>
  <si>
    <t xml:space="preserve">COUNTA( range )</t>
  </si>
  <si>
    <t xml:space="preserve">SUM( range )</t>
  </si>
  <si>
    <t xml:space="preserve">Total Net Revenue ($)</t>
  </si>
  <si>
    <t xml:space="preserve">Avg Order Value ($)</t>
  </si>
  <si>
    <t xml:space="preserve">AVERAGE( range )</t>
  </si>
  <si>
    <t xml:space="preserve">Max Single Revenue ($)</t>
  </si>
  <si>
    <t xml:space="preserve">MAX( range )</t>
  </si>
  <si>
    <t xml:space="preserve">Min Single Revenue ($)</t>
  </si>
  <si>
    <t xml:space="preserve">MIN( range )</t>
  </si>
  <si>
    <t xml:space="preserve">Avg Discount (%)</t>
  </si>
  <si>
    <t xml:space="preserve">Avg Delivery Days</t>
  </si>
  <si>
    <t xml:space="preserve">Median Revenue ($)</t>
  </si>
  <si>
    <t xml:space="preserve">MEDIAN( range )</t>
  </si>
  <si>
    <t xml:space="preserve">Std Dev Revenue ($)</t>
  </si>
  <si>
    <t xml:space="preserve">STDEV( range )</t>
  </si>
  <si>
    <t xml:space="preserve">📝  Student Exercises — Data Analytics with Excel</t>
  </si>
  <si>
    <t xml:space="preserve">#</t>
  </si>
  <si>
    <t xml:space="preserve">Exercise</t>
  </si>
  <si>
    <t xml:space="preserve">Hint / Function to Use</t>
  </si>
  <si>
    <t xml:space="preserve">Your Answer</t>
  </si>
  <si>
    <t xml:space="preserve">── BEGINNER LEVEL ──</t>
  </si>
  <si>
    <t xml:space="preserve">1</t>
  </si>
  <si>
    <t xml:space="preserve">Sort the Raw Dataset by Revenue (highest to lowest). Which product generated the most revenue?</t>
  </si>
  <si>
    <t xml:space="preserve">Sort &amp; Filter ribbon</t>
  </si>
  <si>
    <t xml:space="preserve">2</t>
  </si>
  <si>
    <t xml:space="preserve">Use AutoFilter to show only orders from the 'East' region. How many orders are there?</t>
  </si>
  <si>
    <t xml:space="preserve">AutoFilter</t>
  </si>
  <si>
    <t xml:space="preserve">3</t>
  </si>
  <si>
    <t xml:space="preserve">Use COUNTIF to count how many orders belong to each Product Category.</t>
  </si>
  <si>
    <t xml:space="preserve">COUNTIF(range, criteria)</t>
  </si>
  <si>
    <t xml:space="preserve">4</t>
  </si>
  <si>
    <t xml:space="preserve">Calculate the total revenue for 'Electronics' using SUMIF.</t>
  </si>
  <si>
    <t xml:space="preserve">SUMIF(range, criteria, sum_range)</t>
  </si>
  <si>
    <t xml:space="preserve">5</t>
  </si>
  <si>
    <t xml:space="preserve">Find the customer who placed the highest-value single order using MAX and INDEX/MATCH.</t>
  </si>
  <si>
    <t xml:space="preserve">INDEX + MATCH functions</t>
  </si>
  <si>
    <t xml:space="preserve">── INTERMEDIATE LEVEL ──</t>
  </si>
  <si>
    <t xml:space="preserve">6</t>
  </si>
  <si>
    <t xml:space="preserve">Create a Pivot Table showing total Net Revenue by Region and Category.</t>
  </si>
  <si>
    <t xml:space="preserve">Insert Pivot Table</t>
  </si>
  <si>
    <t xml:space="preserve">7</t>
  </si>
  <si>
    <t xml:space="preserve">Use AVERAGEIF to find the average discount given in the 'West' region.</t>
  </si>
  <si>
    <t xml:space="preserve">AVERAGEIF(range, criteria, avg_range)</t>
  </si>
  <si>
    <t xml:space="preserve">8</t>
  </si>
  <si>
    <t xml:space="preserve">Add a new column 'Profit Tier' using IF: High (&gt;$500), Medium ($100-$500), Low (&lt;$100).</t>
  </si>
  <si>
    <t xml:space="preserve">IF(H&gt;500,"High",IF(H&gt;=100,"Medium","Low"))</t>
  </si>
  <si>
    <t xml:space="preserve">9</t>
  </si>
  <si>
    <t xml:space="preserve">Create a Bar Chart comparing total revenue across the 4 regions.</t>
  </si>
  <si>
    <t xml:space="preserve">Insert Bar Chart</t>
  </si>
  <si>
    <t xml:space="preserve">10</t>
  </si>
  <si>
    <t xml:space="preserve">Use VLOOKUP or XLOOKUP to build a product lookup table by Order ID.</t>
  </si>
  <si>
    <t xml:space="preserve">XLOOKUP(lookup, array, return)</t>
  </si>
  <si>
    <t xml:space="preserve">── ADVANCED LEVEL ──</t>
  </si>
  <si>
    <t xml:space="preserve">11</t>
  </si>
  <si>
    <t xml:space="preserve">Calculate the month-over-month revenue trend using TEXT and SUMIF on the Order Date column.</t>
  </si>
  <si>
    <t xml:space="preserve">TEXT(date,YYYY-MM) + SUMIF</t>
  </si>
  <si>
    <t xml:space="preserve">12</t>
  </si>
  <si>
    <t xml:space="preserve">Use conditional formatting to highlight the top 10 orders by revenue in green.</t>
  </si>
  <si>
    <t xml:space="preserve">Conditional Formatting Top 10</t>
  </si>
  <si>
    <t xml:space="preserve">13</t>
  </si>
  <si>
    <t xml:space="preserve">Build a dynamic dashboard: slicers + pivot chart showing sales by category over time.</t>
  </si>
  <si>
    <t xml:space="preserve">PivotChart + Slicers</t>
  </si>
  <si>
    <t xml:space="preserve">14</t>
  </si>
  <si>
    <t xml:space="preserve">Compute correlation between Units Sold and Discount (%) using CORREL. What does it mean?</t>
  </si>
  <si>
    <t xml:space="preserve">CORREL(array1, array2)</t>
  </si>
  <si>
    <t xml:space="preserve">15</t>
  </si>
  <si>
    <t xml:space="preserve">Identify duplicate customer names using COUNTIF and flag repeat buyers.</t>
  </si>
  <si>
    <t xml:space="preserve">COUNTIF for duplicate names</t>
  </si>
  <si>
    <t xml:space="preserve">📖  Data Dictionary — Understanding the Dataset</t>
  </si>
  <si>
    <t xml:space="preserve">Column Name</t>
  </si>
  <si>
    <t xml:space="preserve">Data Type</t>
  </si>
  <si>
    <t xml:space="preserve">Description</t>
  </si>
  <si>
    <t xml:space="preserve">Example Value</t>
  </si>
  <si>
    <t xml:space="preserve">Analytics Use Case</t>
  </si>
  <si>
    <t xml:space="preserve">Text</t>
  </si>
  <si>
    <t xml:space="preserve">Unique identifier for each order</t>
  </si>
  <si>
    <t xml:space="preserve">Lookup, VLOOKUP/XLOOKUP</t>
  </si>
  <si>
    <t xml:space="preserve">Full name of the customer</t>
  </si>
  <si>
    <t xml:space="preserve">COUNTIF for repeat buyers</t>
  </si>
  <si>
    <t xml:space="preserve">Sales region (East/West/North/South)</t>
  </si>
  <si>
    <t xml:space="preserve">SUMIF, Pivot Tables, Charts</t>
  </si>
  <si>
    <t xml:space="preserve">Broad category of product</t>
  </si>
  <si>
    <t xml:space="preserve">Grouping, filtering</t>
  </si>
  <si>
    <t xml:space="preserve">Specific product sold</t>
  </si>
  <si>
    <t xml:space="preserve">COUNTIF, frequency analysis</t>
  </si>
  <si>
    <t xml:space="preserve">Number</t>
  </si>
  <si>
    <t xml:space="preserve">Quantity of units in the order</t>
  </si>
  <si>
    <t xml:space="preserve">SUM, AVERAGE, CORREL</t>
  </si>
  <si>
    <t xml:space="preserve">Currency</t>
  </si>
  <si>
    <t xml:space="preserve">Price per single unit</t>
  </si>
  <si>
    <t xml:space="preserve">850.00</t>
  </si>
  <si>
    <t xml:space="preserve">Revenue calculations</t>
  </si>
  <si>
    <t xml:space="preserve">Formula</t>
  </si>
  <si>
    <t xml:space="preserve">Units Sold × Unit Price</t>
  </si>
  <si>
    <t xml:space="preserve">4,250.00</t>
  </si>
  <si>
    <t xml:space="preserve">SUM, MAX, MIN, MEDIAN</t>
  </si>
  <si>
    <t xml:space="preserve">Percentage discount applied</t>
  </si>
  <si>
    <t xml:space="preserve">AVERAGEIF, correlation</t>
  </si>
  <si>
    <t xml:space="preserve">Revenue after discount applied</t>
  </si>
  <si>
    <t xml:space="preserve">3,825.00</t>
  </si>
  <si>
    <t xml:space="preserve">Profitability analysis</t>
  </si>
  <si>
    <t xml:space="preserve">Date</t>
  </si>
  <si>
    <t xml:space="preserve">Date the order was placed</t>
  </si>
  <si>
    <t xml:space="preserve">2024-03-15</t>
  </si>
  <si>
    <t xml:space="preserve">Time-series, MONTH(), TEXT()</t>
  </si>
  <si>
    <t xml:space="preserve">Days taken to deliver the order</t>
  </si>
  <si>
    <t xml:space="preserve">AVERAGE, performance KPI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</si>
</sst>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\%"/>
    <numFmt numFmtId="167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EEAF1"/>
        <bgColor rgb="FFD6E4F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1"/>
    <col collapsed="false" customWidth="true" hidden="false" outlineLevel="0" max="8" min="7" style="1" width="14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1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n">
        <v>9</v>
      </c>
      <c r="G4" s="6" t="n">
        <v>850</v>
      </c>
      <c r="H4" s="6" t="n">
        <f aca="false">F4*G4</f>
        <v>7650</v>
      </c>
      <c r="I4" s="7" t="n">
        <v>5</v>
      </c>
      <c r="J4" s="6" t="n">
        <f aca="false">H4*(1-I4/100)</f>
        <v>7267.5</v>
      </c>
      <c r="K4" s="5" t="s">
        <v>19</v>
      </c>
      <c r="L4" s="5" t="n">
        <v>10</v>
      </c>
    </row>
    <row r="5" customFormat="false" ht="15" hidden="false" customHeight="true" outlineLevel="0" collapsed="false">
      <c r="A5" s="8" t="s">
        <v>20</v>
      </c>
      <c r="B5" s="8" t="s">
        <v>21</v>
      </c>
      <c r="C5" s="8" t="s">
        <v>22</v>
      </c>
      <c r="D5" s="8" t="s">
        <v>17</v>
      </c>
      <c r="E5" s="8" t="s">
        <v>23</v>
      </c>
      <c r="F5" s="8" t="n">
        <v>14</v>
      </c>
      <c r="G5" s="9" t="n">
        <v>280</v>
      </c>
      <c r="H5" s="9" t="n">
        <f aca="false">F5*G5</f>
        <v>3920</v>
      </c>
      <c r="I5" s="10" t="n">
        <v>0</v>
      </c>
      <c r="J5" s="9" t="n">
        <f aca="false">H5*(1-I5/100)</f>
        <v>3920</v>
      </c>
      <c r="K5" s="8" t="s">
        <v>24</v>
      </c>
      <c r="L5" s="8" t="n">
        <v>10</v>
      </c>
    </row>
    <row r="6" customFormat="false" ht="15" hidden="false" customHeight="true" outlineLevel="0" collapsed="false">
      <c r="A6" s="5" t="s">
        <v>25</v>
      </c>
      <c r="B6" s="5" t="s">
        <v>15</v>
      </c>
      <c r="C6" s="5" t="s">
        <v>26</v>
      </c>
      <c r="D6" s="5" t="s">
        <v>27</v>
      </c>
      <c r="E6" s="5" t="s">
        <v>28</v>
      </c>
      <c r="F6" s="5" t="n">
        <v>18</v>
      </c>
      <c r="G6" s="6" t="n">
        <v>45</v>
      </c>
      <c r="H6" s="6" t="n">
        <f aca="false">F6*G6</f>
        <v>810</v>
      </c>
      <c r="I6" s="7" t="n">
        <v>5</v>
      </c>
      <c r="J6" s="6" t="n">
        <f aca="false">H6*(1-I6/100)</f>
        <v>769.5</v>
      </c>
      <c r="K6" s="5" t="s">
        <v>29</v>
      </c>
      <c r="L6" s="5" t="n">
        <v>5</v>
      </c>
    </row>
    <row r="7" customFormat="false" ht="15" hidden="false" customHeight="true" outlineLevel="0" collapsed="false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n">
        <v>9</v>
      </c>
      <c r="G7" s="9" t="n">
        <v>29</v>
      </c>
      <c r="H7" s="9" t="n">
        <f aca="false">F7*G7</f>
        <v>261</v>
      </c>
      <c r="I7" s="10" t="n">
        <v>0</v>
      </c>
      <c r="J7" s="9" t="n">
        <f aca="false">H7*(1-I7/100)</f>
        <v>261</v>
      </c>
      <c r="K7" s="8" t="s">
        <v>35</v>
      </c>
      <c r="L7" s="8" t="n">
        <v>6</v>
      </c>
    </row>
    <row r="8" customFormat="false" ht="15" hidden="false" customHeight="true" outlineLevel="0" collapsed="false">
      <c r="A8" s="5" t="s">
        <v>36</v>
      </c>
      <c r="B8" s="5" t="s">
        <v>37</v>
      </c>
      <c r="C8" s="5" t="s">
        <v>32</v>
      </c>
      <c r="D8" s="5" t="s">
        <v>38</v>
      </c>
      <c r="E8" s="5" t="s">
        <v>39</v>
      </c>
      <c r="F8" s="5" t="n">
        <v>11</v>
      </c>
      <c r="G8" s="6" t="n">
        <v>60</v>
      </c>
      <c r="H8" s="6" t="n">
        <f aca="false">F8*G8</f>
        <v>660</v>
      </c>
      <c r="I8" s="7" t="n">
        <v>0</v>
      </c>
      <c r="J8" s="6" t="n">
        <f aca="false">H8*(1-I8/100)</f>
        <v>660</v>
      </c>
      <c r="K8" s="5" t="s">
        <v>40</v>
      </c>
      <c r="L8" s="5" t="n">
        <v>7</v>
      </c>
    </row>
    <row r="9" customFormat="false" ht="15" hidden="false" customHeight="true" outlineLevel="0" collapsed="false">
      <c r="A9" s="8" t="s">
        <v>41</v>
      </c>
      <c r="B9" s="8" t="s">
        <v>42</v>
      </c>
      <c r="C9" s="8" t="s">
        <v>26</v>
      </c>
      <c r="D9" s="8" t="s">
        <v>27</v>
      </c>
      <c r="E9" s="8" t="s">
        <v>43</v>
      </c>
      <c r="F9" s="8" t="n">
        <v>2</v>
      </c>
      <c r="G9" s="9" t="n">
        <v>120</v>
      </c>
      <c r="H9" s="9" t="n">
        <f aca="false">F9*G9</f>
        <v>240</v>
      </c>
      <c r="I9" s="10" t="n">
        <v>15</v>
      </c>
      <c r="J9" s="9" t="n">
        <f aca="false">H9*(1-I9/100)</f>
        <v>204</v>
      </c>
      <c r="K9" s="8" t="s">
        <v>44</v>
      </c>
      <c r="L9" s="8" t="n">
        <v>3</v>
      </c>
    </row>
    <row r="10" customFormat="false" ht="15" hidden="false" customHeight="true" outlineLevel="0" collapsed="false">
      <c r="A10" s="5" t="s">
        <v>45</v>
      </c>
      <c r="B10" s="5" t="s">
        <v>15</v>
      </c>
      <c r="C10" s="5" t="s">
        <v>16</v>
      </c>
      <c r="D10" s="5" t="s">
        <v>27</v>
      </c>
      <c r="E10" s="5" t="s">
        <v>43</v>
      </c>
      <c r="F10" s="5" t="n">
        <v>20</v>
      </c>
      <c r="G10" s="6" t="n">
        <v>120</v>
      </c>
      <c r="H10" s="6" t="n">
        <f aca="false">F10*G10</f>
        <v>2400</v>
      </c>
      <c r="I10" s="7" t="n">
        <v>10</v>
      </c>
      <c r="J10" s="6" t="n">
        <f aca="false">H10*(1-I10/100)</f>
        <v>2160</v>
      </c>
      <c r="K10" s="5" t="s">
        <v>46</v>
      </c>
      <c r="L10" s="5" t="n">
        <v>2</v>
      </c>
    </row>
    <row r="11" customFormat="false" ht="15" hidden="false" customHeight="true" outlineLevel="0" collapsed="false">
      <c r="A11" s="8" t="s">
        <v>47</v>
      </c>
      <c r="B11" s="8" t="s">
        <v>48</v>
      </c>
      <c r="C11" s="8" t="s">
        <v>26</v>
      </c>
      <c r="D11" s="8" t="s">
        <v>38</v>
      </c>
      <c r="E11" s="8" t="s">
        <v>49</v>
      </c>
      <c r="F11" s="8" t="n">
        <v>3</v>
      </c>
      <c r="G11" s="9" t="n">
        <v>110</v>
      </c>
      <c r="H11" s="9" t="n">
        <f aca="false">F11*G11</f>
        <v>330</v>
      </c>
      <c r="I11" s="10" t="n">
        <v>5</v>
      </c>
      <c r="J11" s="9" t="n">
        <f aca="false">H11*(1-I11/100)</f>
        <v>313.5</v>
      </c>
      <c r="K11" s="8" t="s">
        <v>40</v>
      </c>
      <c r="L11" s="8" t="n">
        <v>7</v>
      </c>
    </row>
    <row r="12" customFormat="false" ht="15" hidden="false" customHeight="true" outlineLevel="0" collapsed="false">
      <c r="A12" s="5" t="s">
        <v>50</v>
      </c>
      <c r="B12" s="5" t="s">
        <v>15</v>
      </c>
      <c r="C12" s="5" t="s">
        <v>16</v>
      </c>
      <c r="D12" s="5" t="s">
        <v>38</v>
      </c>
      <c r="E12" s="5" t="s">
        <v>49</v>
      </c>
      <c r="F12" s="5" t="n">
        <v>12</v>
      </c>
      <c r="G12" s="6" t="n">
        <v>110</v>
      </c>
      <c r="H12" s="6" t="n">
        <f aca="false">F12*G12</f>
        <v>1320</v>
      </c>
      <c r="I12" s="7" t="n">
        <v>5</v>
      </c>
      <c r="J12" s="6" t="n">
        <f aca="false">H12*(1-I12/100)</f>
        <v>1254</v>
      </c>
      <c r="K12" s="5" t="s">
        <v>51</v>
      </c>
      <c r="L12" s="5" t="n">
        <v>4</v>
      </c>
    </row>
    <row r="13" customFormat="false" ht="15" hidden="false" customHeight="true" outlineLevel="0" collapsed="false">
      <c r="A13" s="8" t="s">
        <v>52</v>
      </c>
      <c r="B13" s="8" t="s">
        <v>42</v>
      </c>
      <c r="C13" s="8" t="s">
        <v>22</v>
      </c>
      <c r="D13" s="8" t="s">
        <v>27</v>
      </c>
      <c r="E13" s="8" t="s">
        <v>53</v>
      </c>
      <c r="F13" s="8" t="n">
        <v>6</v>
      </c>
      <c r="G13" s="9" t="n">
        <v>100</v>
      </c>
      <c r="H13" s="9" t="n">
        <f aca="false">F13*G13</f>
        <v>600</v>
      </c>
      <c r="I13" s="10" t="n">
        <v>15</v>
      </c>
      <c r="J13" s="9" t="n">
        <f aca="false">H13*(1-I13/100)</f>
        <v>510</v>
      </c>
      <c r="K13" s="8" t="s">
        <v>54</v>
      </c>
      <c r="L13" s="8" t="n">
        <v>7</v>
      </c>
    </row>
    <row r="14" customFormat="false" ht="15" hidden="false" customHeight="true" outlineLevel="0" collapsed="false">
      <c r="A14" s="5" t="s">
        <v>55</v>
      </c>
      <c r="B14" s="5" t="s">
        <v>37</v>
      </c>
      <c r="C14" s="5" t="s">
        <v>22</v>
      </c>
      <c r="D14" s="5" t="s">
        <v>17</v>
      </c>
      <c r="E14" s="5" t="s">
        <v>56</v>
      </c>
      <c r="F14" s="5" t="n">
        <v>2</v>
      </c>
      <c r="G14" s="6" t="n">
        <v>620</v>
      </c>
      <c r="H14" s="6" t="n">
        <f aca="false">F14*G14</f>
        <v>1240</v>
      </c>
      <c r="I14" s="7" t="n">
        <v>10</v>
      </c>
      <c r="J14" s="6" t="n">
        <f aca="false">H14*(1-I14/100)</f>
        <v>1116</v>
      </c>
      <c r="K14" s="5" t="s">
        <v>54</v>
      </c>
      <c r="L14" s="5" t="n">
        <v>7</v>
      </c>
    </row>
    <row r="15" customFormat="false" ht="15" hidden="false" customHeight="true" outlineLevel="0" collapsed="false">
      <c r="A15" s="8" t="s">
        <v>57</v>
      </c>
      <c r="B15" s="8" t="s">
        <v>58</v>
      </c>
      <c r="C15" s="8" t="s">
        <v>22</v>
      </c>
      <c r="D15" s="8" t="s">
        <v>38</v>
      </c>
      <c r="E15" s="8" t="s">
        <v>59</v>
      </c>
      <c r="F15" s="8" t="n">
        <v>13</v>
      </c>
      <c r="G15" s="9" t="n">
        <v>75</v>
      </c>
      <c r="H15" s="9" t="n">
        <f aca="false">F15*G15</f>
        <v>975</v>
      </c>
      <c r="I15" s="10" t="n">
        <v>15</v>
      </c>
      <c r="J15" s="9" t="n">
        <f aca="false">H15*(1-I15/100)</f>
        <v>828.75</v>
      </c>
      <c r="K15" s="8" t="s">
        <v>60</v>
      </c>
      <c r="L15" s="8" t="n">
        <v>10</v>
      </c>
    </row>
    <row r="16" customFormat="false" ht="15" hidden="false" customHeight="true" outlineLevel="0" collapsed="false">
      <c r="A16" s="5" t="s">
        <v>61</v>
      </c>
      <c r="B16" s="5" t="s">
        <v>62</v>
      </c>
      <c r="C16" s="5" t="s">
        <v>22</v>
      </c>
      <c r="D16" s="5" t="s">
        <v>27</v>
      </c>
      <c r="E16" s="5" t="s">
        <v>43</v>
      </c>
      <c r="F16" s="5" t="n">
        <v>19</v>
      </c>
      <c r="G16" s="6" t="n">
        <v>120</v>
      </c>
      <c r="H16" s="6" t="n">
        <f aca="false">F16*G16</f>
        <v>2280</v>
      </c>
      <c r="I16" s="7" t="n">
        <v>15</v>
      </c>
      <c r="J16" s="6" t="n">
        <f aca="false">H16*(1-I16/100)</f>
        <v>1938</v>
      </c>
      <c r="K16" s="5" t="s">
        <v>63</v>
      </c>
      <c r="L16" s="5" t="n">
        <v>4</v>
      </c>
    </row>
    <row r="17" customFormat="false" ht="15" hidden="false" customHeight="true" outlineLevel="0" collapsed="false">
      <c r="A17" s="8" t="s">
        <v>64</v>
      </c>
      <c r="B17" s="8" t="s">
        <v>65</v>
      </c>
      <c r="C17" s="8" t="s">
        <v>22</v>
      </c>
      <c r="D17" s="8" t="s">
        <v>27</v>
      </c>
      <c r="E17" s="8" t="s">
        <v>66</v>
      </c>
      <c r="F17" s="8" t="n">
        <v>3</v>
      </c>
      <c r="G17" s="9" t="n">
        <v>65</v>
      </c>
      <c r="H17" s="9" t="n">
        <f aca="false">F17*G17</f>
        <v>195</v>
      </c>
      <c r="I17" s="10" t="n">
        <v>0</v>
      </c>
      <c r="J17" s="9" t="n">
        <f aca="false">H17*(1-I17/100)</f>
        <v>195</v>
      </c>
      <c r="K17" s="8" t="s">
        <v>67</v>
      </c>
      <c r="L17" s="8" t="n">
        <v>8</v>
      </c>
    </row>
    <row r="18" customFormat="false" ht="15" hidden="false" customHeight="true" outlineLevel="0" collapsed="false">
      <c r="A18" s="5" t="s">
        <v>68</v>
      </c>
      <c r="B18" s="5" t="s">
        <v>69</v>
      </c>
      <c r="C18" s="5" t="s">
        <v>32</v>
      </c>
      <c r="D18" s="5" t="s">
        <v>27</v>
      </c>
      <c r="E18" s="5" t="s">
        <v>28</v>
      </c>
      <c r="F18" s="5" t="n">
        <v>13</v>
      </c>
      <c r="G18" s="6" t="n">
        <v>45</v>
      </c>
      <c r="H18" s="6" t="n">
        <f aca="false">F18*G18</f>
        <v>585</v>
      </c>
      <c r="I18" s="7" t="n">
        <v>15</v>
      </c>
      <c r="J18" s="6" t="n">
        <f aca="false">H18*(1-I18/100)</f>
        <v>497.25</v>
      </c>
      <c r="K18" s="5" t="s">
        <v>70</v>
      </c>
      <c r="L18" s="5" t="n">
        <v>10</v>
      </c>
    </row>
    <row r="19" customFormat="false" ht="15" hidden="false" customHeight="true" outlineLevel="0" collapsed="false">
      <c r="A19" s="8" t="s">
        <v>71</v>
      </c>
      <c r="B19" s="8" t="s">
        <v>37</v>
      </c>
      <c r="C19" s="8" t="s">
        <v>32</v>
      </c>
      <c r="D19" s="8" t="s">
        <v>17</v>
      </c>
      <c r="E19" s="8" t="s">
        <v>18</v>
      </c>
      <c r="F19" s="8" t="n">
        <v>18</v>
      </c>
      <c r="G19" s="9" t="n">
        <v>850</v>
      </c>
      <c r="H19" s="9" t="n">
        <f aca="false">F19*G19</f>
        <v>15300</v>
      </c>
      <c r="I19" s="10" t="n">
        <v>10</v>
      </c>
      <c r="J19" s="9" t="n">
        <f aca="false">H19*(1-I19/100)</f>
        <v>13770</v>
      </c>
      <c r="K19" s="8" t="s">
        <v>72</v>
      </c>
      <c r="L19" s="8" t="n">
        <v>8</v>
      </c>
    </row>
    <row r="20" customFormat="false" ht="15" hidden="false" customHeight="true" outlineLevel="0" collapsed="false">
      <c r="A20" s="5" t="s">
        <v>73</v>
      </c>
      <c r="B20" s="5" t="s">
        <v>58</v>
      </c>
      <c r="C20" s="5" t="s">
        <v>16</v>
      </c>
      <c r="D20" s="5" t="s">
        <v>38</v>
      </c>
      <c r="E20" s="5" t="s">
        <v>59</v>
      </c>
      <c r="F20" s="5" t="n">
        <v>1</v>
      </c>
      <c r="G20" s="6" t="n">
        <v>75</v>
      </c>
      <c r="H20" s="6" t="n">
        <f aca="false">F20*G20</f>
        <v>75</v>
      </c>
      <c r="I20" s="7" t="n">
        <v>10</v>
      </c>
      <c r="J20" s="6" t="n">
        <f aca="false">H20*(1-I20/100)</f>
        <v>67.5</v>
      </c>
      <c r="K20" s="5" t="s">
        <v>74</v>
      </c>
      <c r="L20" s="5" t="n">
        <v>6</v>
      </c>
    </row>
    <row r="21" customFormat="false" ht="15" hidden="false" customHeight="true" outlineLevel="0" collapsed="false">
      <c r="A21" s="8" t="s">
        <v>75</v>
      </c>
      <c r="B21" s="8" t="s">
        <v>58</v>
      </c>
      <c r="C21" s="8" t="s">
        <v>16</v>
      </c>
      <c r="D21" s="8" t="s">
        <v>27</v>
      </c>
      <c r="E21" s="8" t="s">
        <v>76</v>
      </c>
      <c r="F21" s="8" t="n">
        <v>7</v>
      </c>
      <c r="G21" s="9" t="n">
        <v>15</v>
      </c>
      <c r="H21" s="9" t="n">
        <f aca="false">F21*G21</f>
        <v>105</v>
      </c>
      <c r="I21" s="10" t="n">
        <v>5</v>
      </c>
      <c r="J21" s="9" t="n">
        <f aca="false">H21*(1-I21/100)</f>
        <v>99.75</v>
      </c>
      <c r="K21" s="8" t="s">
        <v>77</v>
      </c>
      <c r="L21" s="8" t="n">
        <v>7</v>
      </c>
    </row>
    <row r="22" customFormat="false" ht="15" hidden="false" customHeight="true" outlineLevel="0" collapsed="false">
      <c r="A22" s="5" t="s">
        <v>78</v>
      </c>
      <c r="B22" s="5" t="s">
        <v>79</v>
      </c>
      <c r="C22" s="5" t="s">
        <v>22</v>
      </c>
      <c r="D22" s="5" t="s">
        <v>33</v>
      </c>
      <c r="E22" s="5" t="s">
        <v>80</v>
      </c>
      <c r="F22" s="5" t="n">
        <v>4</v>
      </c>
      <c r="G22" s="6" t="n">
        <v>30</v>
      </c>
      <c r="H22" s="6" t="n">
        <f aca="false">F22*G22</f>
        <v>120</v>
      </c>
      <c r="I22" s="7" t="n">
        <v>10</v>
      </c>
      <c r="J22" s="6" t="n">
        <f aca="false">H22*(1-I22/100)</f>
        <v>108</v>
      </c>
      <c r="K22" s="5" t="s">
        <v>81</v>
      </c>
      <c r="L22" s="5" t="n">
        <v>3</v>
      </c>
    </row>
    <row r="23" customFormat="false" ht="15" hidden="false" customHeight="true" outlineLevel="0" collapsed="false">
      <c r="A23" s="8" t="s">
        <v>82</v>
      </c>
      <c r="B23" s="8" t="s">
        <v>65</v>
      </c>
      <c r="C23" s="8" t="s">
        <v>26</v>
      </c>
      <c r="D23" s="8" t="s">
        <v>17</v>
      </c>
      <c r="E23" s="8" t="s">
        <v>83</v>
      </c>
      <c r="F23" s="8" t="n">
        <v>3</v>
      </c>
      <c r="G23" s="9" t="n">
        <v>150</v>
      </c>
      <c r="H23" s="9" t="n">
        <f aca="false">F23*G23</f>
        <v>450</v>
      </c>
      <c r="I23" s="10" t="n">
        <v>20</v>
      </c>
      <c r="J23" s="9" t="n">
        <f aca="false">H23*(1-I23/100)</f>
        <v>360</v>
      </c>
      <c r="K23" s="8" t="s">
        <v>84</v>
      </c>
      <c r="L23" s="8" t="n">
        <v>10</v>
      </c>
    </row>
    <row r="24" customFormat="false" ht="15" hidden="false" customHeight="true" outlineLevel="0" collapsed="false">
      <c r="A24" s="5" t="s">
        <v>85</v>
      </c>
      <c r="B24" s="5" t="s">
        <v>42</v>
      </c>
      <c r="C24" s="5" t="s">
        <v>22</v>
      </c>
      <c r="D24" s="5" t="s">
        <v>38</v>
      </c>
      <c r="E24" s="5" t="s">
        <v>49</v>
      </c>
      <c r="F24" s="5" t="n">
        <v>17</v>
      </c>
      <c r="G24" s="6" t="n">
        <v>110</v>
      </c>
      <c r="H24" s="6" t="n">
        <f aca="false">F24*G24</f>
        <v>1870</v>
      </c>
      <c r="I24" s="7" t="n">
        <v>20</v>
      </c>
      <c r="J24" s="6" t="n">
        <f aca="false">H24*(1-I24/100)</f>
        <v>1496</v>
      </c>
      <c r="K24" s="5" t="s">
        <v>86</v>
      </c>
      <c r="L24" s="5" t="n">
        <v>6</v>
      </c>
    </row>
    <row r="25" customFormat="false" ht="15" hidden="false" customHeight="true" outlineLevel="0" collapsed="false">
      <c r="A25" s="8" t="s">
        <v>87</v>
      </c>
      <c r="B25" s="8" t="s">
        <v>21</v>
      </c>
      <c r="C25" s="8" t="s">
        <v>22</v>
      </c>
      <c r="D25" s="8" t="s">
        <v>33</v>
      </c>
      <c r="E25" s="8" t="s">
        <v>88</v>
      </c>
      <c r="F25" s="8" t="n">
        <v>15</v>
      </c>
      <c r="G25" s="9" t="n">
        <v>28</v>
      </c>
      <c r="H25" s="9" t="n">
        <f aca="false">F25*G25</f>
        <v>420</v>
      </c>
      <c r="I25" s="10" t="n">
        <v>20</v>
      </c>
      <c r="J25" s="9" t="n">
        <f aca="false">H25*(1-I25/100)</f>
        <v>336</v>
      </c>
      <c r="K25" s="8" t="s">
        <v>89</v>
      </c>
      <c r="L25" s="8" t="n">
        <v>3</v>
      </c>
    </row>
    <row r="26" customFormat="false" ht="15" hidden="false" customHeight="true" outlineLevel="0" collapsed="false">
      <c r="A26" s="5" t="s">
        <v>90</v>
      </c>
      <c r="B26" s="5" t="s">
        <v>21</v>
      </c>
      <c r="C26" s="5" t="s">
        <v>16</v>
      </c>
      <c r="D26" s="5" t="s">
        <v>91</v>
      </c>
      <c r="E26" s="5" t="s">
        <v>92</v>
      </c>
      <c r="F26" s="5" t="n">
        <v>19</v>
      </c>
      <c r="G26" s="6" t="n">
        <v>450</v>
      </c>
      <c r="H26" s="6" t="n">
        <f aca="false">F26*G26</f>
        <v>8550</v>
      </c>
      <c r="I26" s="7" t="n">
        <v>20</v>
      </c>
      <c r="J26" s="6" t="n">
        <f aca="false">H26*(1-I26/100)</f>
        <v>6840</v>
      </c>
      <c r="K26" s="5" t="s">
        <v>93</v>
      </c>
      <c r="L26" s="5" t="n">
        <v>3</v>
      </c>
    </row>
    <row r="27" customFormat="false" ht="15" hidden="false" customHeight="true" outlineLevel="0" collapsed="false">
      <c r="A27" s="8" t="s">
        <v>94</v>
      </c>
      <c r="B27" s="8" t="s">
        <v>69</v>
      </c>
      <c r="C27" s="8" t="s">
        <v>22</v>
      </c>
      <c r="D27" s="8" t="s">
        <v>17</v>
      </c>
      <c r="E27" s="8" t="s">
        <v>56</v>
      </c>
      <c r="F27" s="8" t="n">
        <v>3</v>
      </c>
      <c r="G27" s="9" t="n">
        <v>620</v>
      </c>
      <c r="H27" s="9" t="n">
        <f aca="false">F27*G27</f>
        <v>1860</v>
      </c>
      <c r="I27" s="10" t="n">
        <v>0</v>
      </c>
      <c r="J27" s="9" t="n">
        <f aca="false">H27*(1-I27/100)</f>
        <v>1860</v>
      </c>
      <c r="K27" s="8" t="s">
        <v>95</v>
      </c>
      <c r="L27" s="8" t="n">
        <v>6</v>
      </c>
    </row>
    <row r="28" customFormat="false" ht="15" hidden="false" customHeight="true" outlineLevel="0" collapsed="false">
      <c r="A28" s="5" t="s">
        <v>96</v>
      </c>
      <c r="B28" s="5" t="s">
        <v>97</v>
      </c>
      <c r="C28" s="5" t="s">
        <v>26</v>
      </c>
      <c r="D28" s="5" t="s">
        <v>33</v>
      </c>
      <c r="E28" s="5" t="s">
        <v>98</v>
      </c>
      <c r="F28" s="5" t="n">
        <v>18</v>
      </c>
      <c r="G28" s="6" t="n">
        <v>35</v>
      </c>
      <c r="H28" s="6" t="n">
        <f aca="false">F28*G28</f>
        <v>630</v>
      </c>
      <c r="I28" s="7" t="n">
        <v>5</v>
      </c>
      <c r="J28" s="6" t="n">
        <f aca="false">H28*(1-I28/100)</f>
        <v>598.5</v>
      </c>
      <c r="K28" s="5" t="s">
        <v>99</v>
      </c>
      <c r="L28" s="5" t="n">
        <v>5</v>
      </c>
    </row>
    <row r="29" customFormat="false" ht="15" hidden="false" customHeight="true" outlineLevel="0" collapsed="false">
      <c r="A29" s="8" t="s">
        <v>100</v>
      </c>
      <c r="B29" s="8" t="s">
        <v>31</v>
      </c>
      <c r="C29" s="8" t="s">
        <v>32</v>
      </c>
      <c r="D29" s="8" t="s">
        <v>33</v>
      </c>
      <c r="E29" s="8" t="s">
        <v>101</v>
      </c>
      <c r="F29" s="8" t="n">
        <v>7</v>
      </c>
      <c r="G29" s="9" t="n">
        <v>32</v>
      </c>
      <c r="H29" s="9" t="n">
        <f aca="false">F29*G29</f>
        <v>224</v>
      </c>
      <c r="I29" s="10" t="n">
        <v>0</v>
      </c>
      <c r="J29" s="9" t="n">
        <f aca="false">H29*(1-I29/100)</f>
        <v>224</v>
      </c>
      <c r="K29" s="8" t="s">
        <v>102</v>
      </c>
      <c r="L29" s="8" t="n">
        <v>8</v>
      </c>
    </row>
    <row r="30" customFormat="false" ht="15" hidden="false" customHeight="true" outlineLevel="0" collapsed="false">
      <c r="A30" s="5" t="s">
        <v>103</v>
      </c>
      <c r="B30" s="5" t="s">
        <v>15</v>
      </c>
      <c r="C30" s="5" t="s">
        <v>32</v>
      </c>
      <c r="D30" s="5" t="s">
        <v>33</v>
      </c>
      <c r="E30" s="5" t="s">
        <v>101</v>
      </c>
      <c r="F30" s="5" t="n">
        <v>2</v>
      </c>
      <c r="G30" s="6" t="n">
        <v>32</v>
      </c>
      <c r="H30" s="6" t="n">
        <f aca="false">F30*G30</f>
        <v>64</v>
      </c>
      <c r="I30" s="7" t="n">
        <v>0</v>
      </c>
      <c r="J30" s="6" t="n">
        <f aca="false">H30*(1-I30/100)</f>
        <v>64</v>
      </c>
      <c r="K30" s="5" t="s">
        <v>104</v>
      </c>
      <c r="L30" s="5" t="n">
        <v>3</v>
      </c>
    </row>
    <row r="31" customFormat="false" ht="15" hidden="false" customHeight="true" outlineLevel="0" collapsed="false">
      <c r="A31" s="8" t="s">
        <v>105</v>
      </c>
      <c r="B31" s="8" t="s">
        <v>31</v>
      </c>
      <c r="C31" s="8" t="s">
        <v>22</v>
      </c>
      <c r="D31" s="8" t="s">
        <v>38</v>
      </c>
      <c r="E31" s="8" t="s">
        <v>39</v>
      </c>
      <c r="F31" s="8" t="n">
        <v>7</v>
      </c>
      <c r="G31" s="9" t="n">
        <v>60</v>
      </c>
      <c r="H31" s="9" t="n">
        <f aca="false">F31*G31</f>
        <v>420</v>
      </c>
      <c r="I31" s="10" t="n">
        <v>20</v>
      </c>
      <c r="J31" s="9" t="n">
        <f aca="false">H31*(1-I31/100)</f>
        <v>336</v>
      </c>
      <c r="K31" s="8" t="s">
        <v>106</v>
      </c>
      <c r="L31" s="8" t="n">
        <v>6</v>
      </c>
    </row>
    <row r="32" customFormat="false" ht="15" hidden="false" customHeight="true" outlineLevel="0" collapsed="false">
      <c r="A32" s="5" t="s">
        <v>107</v>
      </c>
      <c r="B32" s="5" t="s">
        <v>79</v>
      </c>
      <c r="C32" s="5" t="s">
        <v>16</v>
      </c>
      <c r="D32" s="5" t="s">
        <v>33</v>
      </c>
      <c r="E32" s="5" t="s">
        <v>98</v>
      </c>
      <c r="F32" s="5" t="n">
        <v>3</v>
      </c>
      <c r="G32" s="6" t="n">
        <v>35</v>
      </c>
      <c r="H32" s="6" t="n">
        <f aca="false">F32*G32</f>
        <v>105</v>
      </c>
      <c r="I32" s="7" t="n">
        <v>15</v>
      </c>
      <c r="J32" s="6" t="n">
        <f aca="false">H32*(1-I32/100)</f>
        <v>89.25</v>
      </c>
      <c r="K32" s="5" t="s">
        <v>44</v>
      </c>
      <c r="L32" s="5" t="n">
        <v>3</v>
      </c>
    </row>
    <row r="33" customFormat="false" ht="15" hidden="false" customHeight="true" outlineLevel="0" collapsed="false">
      <c r="A33" s="8" t="s">
        <v>108</v>
      </c>
      <c r="B33" s="8" t="s">
        <v>109</v>
      </c>
      <c r="C33" s="8" t="s">
        <v>26</v>
      </c>
      <c r="D33" s="8" t="s">
        <v>38</v>
      </c>
      <c r="E33" s="8" t="s">
        <v>39</v>
      </c>
      <c r="F33" s="8" t="n">
        <v>14</v>
      </c>
      <c r="G33" s="9" t="n">
        <v>60</v>
      </c>
      <c r="H33" s="9" t="n">
        <f aca="false">F33*G33</f>
        <v>840</v>
      </c>
      <c r="I33" s="10" t="n">
        <v>15</v>
      </c>
      <c r="J33" s="9" t="n">
        <f aca="false">H33*(1-I33/100)</f>
        <v>714</v>
      </c>
      <c r="K33" s="8" t="s">
        <v>110</v>
      </c>
      <c r="L33" s="8" t="n">
        <v>2</v>
      </c>
    </row>
    <row r="34" customFormat="false" ht="15" hidden="false" customHeight="true" outlineLevel="0" collapsed="false">
      <c r="A34" s="5" t="s">
        <v>111</v>
      </c>
      <c r="B34" s="5" t="s">
        <v>112</v>
      </c>
      <c r="C34" s="5" t="s">
        <v>26</v>
      </c>
      <c r="D34" s="5" t="s">
        <v>38</v>
      </c>
      <c r="E34" s="5" t="s">
        <v>59</v>
      </c>
      <c r="F34" s="5" t="n">
        <v>1</v>
      </c>
      <c r="G34" s="6" t="n">
        <v>75</v>
      </c>
      <c r="H34" s="6" t="n">
        <f aca="false">F34*G34</f>
        <v>75</v>
      </c>
      <c r="I34" s="7" t="n">
        <v>15</v>
      </c>
      <c r="J34" s="6" t="n">
        <f aca="false">H34*(1-I34/100)</f>
        <v>63.75</v>
      </c>
      <c r="K34" s="5" t="s">
        <v>113</v>
      </c>
      <c r="L34" s="5" t="n">
        <v>6</v>
      </c>
    </row>
    <row r="35" customFormat="false" ht="15" hidden="false" customHeight="true" outlineLevel="0" collapsed="false">
      <c r="A35" s="8" t="s">
        <v>114</v>
      </c>
      <c r="B35" s="8" t="s">
        <v>21</v>
      </c>
      <c r="C35" s="8" t="s">
        <v>16</v>
      </c>
      <c r="D35" s="8" t="s">
        <v>33</v>
      </c>
      <c r="E35" s="8" t="s">
        <v>34</v>
      </c>
      <c r="F35" s="8" t="n">
        <v>16</v>
      </c>
      <c r="G35" s="9" t="n">
        <v>29</v>
      </c>
      <c r="H35" s="9" t="n">
        <f aca="false">F35*G35</f>
        <v>464</v>
      </c>
      <c r="I35" s="10" t="n">
        <v>5</v>
      </c>
      <c r="J35" s="9" t="n">
        <f aca="false">H35*(1-I35/100)</f>
        <v>440.8</v>
      </c>
      <c r="K35" s="8" t="s">
        <v>115</v>
      </c>
      <c r="L35" s="8" t="n">
        <v>10</v>
      </c>
    </row>
    <row r="36" customFormat="false" ht="15" hidden="false" customHeight="true" outlineLevel="0" collapsed="false">
      <c r="A36" s="5" t="s">
        <v>116</v>
      </c>
      <c r="B36" s="5" t="s">
        <v>69</v>
      </c>
      <c r="C36" s="5" t="s">
        <v>22</v>
      </c>
      <c r="D36" s="5" t="s">
        <v>17</v>
      </c>
      <c r="E36" s="5" t="s">
        <v>117</v>
      </c>
      <c r="F36" s="5" t="n">
        <v>2</v>
      </c>
      <c r="G36" s="6" t="n">
        <v>390</v>
      </c>
      <c r="H36" s="6" t="n">
        <f aca="false">F36*G36</f>
        <v>780</v>
      </c>
      <c r="I36" s="7" t="n">
        <v>0</v>
      </c>
      <c r="J36" s="6" t="n">
        <f aca="false">H36*(1-I36/100)</f>
        <v>780</v>
      </c>
      <c r="K36" s="5" t="s">
        <v>118</v>
      </c>
      <c r="L36" s="5" t="n">
        <v>2</v>
      </c>
    </row>
    <row r="37" customFormat="false" ht="15" hidden="false" customHeight="true" outlineLevel="0" collapsed="false">
      <c r="A37" s="8" t="s">
        <v>119</v>
      </c>
      <c r="B37" s="8" t="s">
        <v>65</v>
      </c>
      <c r="C37" s="8" t="s">
        <v>22</v>
      </c>
      <c r="D37" s="8" t="s">
        <v>27</v>
      </c>
      <c r="E37" s="8" t="s">
        <v>28</v>
      </c>
      <c r="F37" s="8" t="n">
        <v>6</v>
      </c>
      <c r="G37" s="9" t="n">
        <v>45</v>
      </c>
      <c r="H37" s="9" t="n">
        <f aca="false">F37*G37</f>
        <v>270</v>
      </c>
      <c r="I37" s="10" t="n">
        <v>0</v>
      </c>
      <c r="J37" s="9" t="n">
        <f aca="false">H37*(1-I37/100)</f>
        <v>270</v>
      </c>
      <c r="K37" s="8" t="s">
        <v>120</v>
      </c>
      <c r="L37" s="8" t="n">
        <v>8</v>
      </c>
    </row>
    <row r="38" customFormat="false" ht="15" hidden="false" customHeight="true" outlineLevel="0" collapsed="false">
      <c r="A38" s="5" t="s">
        <v>121</v>
      </c>
      <c r="B38" s="5" t="s">
        <v>97</v>
      </c>
      <c r="C38" s="5" t="s">
        <v>16</v>
      </c>
      <c r="D38" s="5" t="s">
        <v>17</v>
      </c>
      <c r="E38" s="5" t="s">
        <v>23</v>
      </c>
      <c r="F38" s="5" t="n">
        <v>8</v>
      </c>
      <c r="G38" s="6" t="n">
        <v>280</v>
      </c>
      <c r="H38" s="6" t="n">
        <f aca="false">F38*G38</f>
        <v>2240</v>
      </c>
      <c r="I38" s="7" t="n">
        <v>20</v>
      </c>
      <c r="J38" s="6" t="n">
        <f aca="false">H38*(1-I38/100)</f>
        <v>1792</v>
      </c>
      <c r="K38" s="5" t="s">
        <v>122</v>
      </c>
      <c r="L38" s="5" t="n">
        <v>8</v>
      </c>
    </row>
    <row r="39" customFormat="false" ht="15" hidden="false" customHeight="true" outlineLevel="0" collapsed="false">
      <c r="A39" s="8" t="s">
        <v>123</v>
      </c>
      <c r="B39" s="8" t="s">
        <v>65</v>
      </c>
      <c r="C39" s="8" t="s">
        <v>32</v>
      </c>
      <c r="D39" s="8" t="s">
        <v>27</v>
      </c>
      <c r="E39" s="8" t="s">
        <v>76</v>
      </c>
      <c r="F39" s="8" t="n">
        <v>17</v>
      </c>
      <c r="G39" s="9" t="n">
        <v>15</v>
      </c>
      <c r="H39" s="9" t="n">
        <f aca="false">F39*G39</f>
        <v>255</v>
      </c>
      <c r="I39" s="10" t="n">
        <v>10</v>
      </c>
      <c r="J39" s="9" t="n">
        <f aca="false">H39*(1-I39/100)</f>
        <v>229.5</v>
      </c>
      <c r="K39" s="8" t="s">
        <v>124</v>
      </c>
      <c r="L39" s="8" t="n">
        <v>5</v>
      </c>
    </row>
    <row r="40" customFormat="false" ht="15" hidden="false" customHeight="true" outlineLevel="0" collapsed="false">
      <c r="A40" s="5" t="s">
        <v>125</v>
      </c>
      <c r="B40" s="5" t="s">
        <v>42</v>
      </c>
      <c r="C40" s="5" t="s">
        <v>16</v>
      </c>
      <c r="D40" s="5" t="s">
        <v>91</v>
      </c>
      <c r="E40" s="5" t="s">
        <v>126</v>
      </c>
      <c r="F40" s="5" t="n">
        <v>5</v>
      </c>
      <c r="G40" s="6" t="n">
        <v>55</v>
      </c>
      <c r="H40" s="6" t="n">
        <f aca="false">F40*G40</f>
        <v>275</v>
      </c>
      <c r="I40" s="7" t="n">
        <v>10</v>
      </c>
      <c r="J40" s="6" t="n">
        <f aca="false">H40*(1-I40/100)</f>
        <v>247.5</v>
      </c>
      <c r="K40" s="5" t="s">
        <v>127</v>
      </c>
      <c r="L40" s="5" t="n">
        <v>2</v>
      </c>
    </row>
    <row r="41" customFormat="false" ht="15" hidden="false" customHeight="true" outlineLevel="0" collapsed="false">
      <c r="A41" s="8" t="s">
        <v>128</v>
      </c>
      <c r="B41" s="8" t="s">
        <v>21</v>
      </c>
      <c r="C41" s="8" t="s">
        <v>32</v>
      </c>
      <c r="D41" s="8" t="s">
        <v>33</v>
      </c>
      <c r="E41" s="8" t="s">
        <v>34</v>
      </c>
      <c r="F41" s="8" t="n">
        <v>19</v>
      </c>
      <c r="G41" s="9" t="n">
        <v>29</v>
      </c>
      <c r="H41" s="9" t="n">
        <f aca="false">F41*G41</f>
        <v>551</v>
      </c>
      <c r="I41" s="10" t="n">
        <v>0</v>
      </c>
      <c r="J41" s="9" t="n">
        <f aca="false">H41*(1-I41/100)</f>
        <v>551</v>
      </c>
      <c r="K41" s="8" t="s">
        <v>129</v>
      </c>
      <c r="L41" s="8" t="n">
        <v>4</v>
      </c>
    </row>
    <row r="42" customFormat="false" ht="15" hidden="false" customHeight="true" outlineLevel="0" collapsed="false">
      <c r="A42" s="5" t="s">
        <v>130</v>
      </c>
      <c r="B42" s="5" t="s">
        <v>131</v>
      </c>
      <c r="C42" s="5" t="s">
        <v>32</v>
      </c>
      <c r="D42" s="5" t="s">
        <v>91</v>
      </c>
      <c r="E42" s="5" t="s">
        <v>92</v>
      </c>
      <c r="F42" s="5" t="n">
        <v>8</v>
      </c>
      <c r="G42" s="6" t="n">
        <v>450</v>
      </c>
      <c r="H42" s="6" t="n">
        <f aca="false">F42*G42</f>
        <v>3600</v>
      </c>
      <c r="I42" s="7" t="n">
        <v>10</v>
      </c>
      <c r="J42" s="6" t="n">
        <f aca="false">H42*(1-I42/100)</f>
        <v>3240</v>
      </c>
      <c r="K42" s="5" t="s">
        <v>132</v>
      </c>
      <c r="L42" s="5" t="n">
        <v>10</v>
      </c>
    </row>
    <row r="43" customFormat="false" ht="15" hidden="false" customHeight="true" outlineLevel="0" collapsed="false">
      <c r="A43" s="8" t="s">
        <v>133</v>
      </c>
      <c r="B43" s="8" t="s">
        <v>37</v>
      </c>
      <c r="C43" s="8" t="s">
        <v>16</v>
      </c>
      <c r="D43" s="8" t="s">
        <v>17</v>
      </c>
      <c r="E43" s="8" t="s">
        <v>23</v>
      </c>
      <c r="F43" s="8" t="n">
        <v>10</v>
      </c>
      <c r="G43" s="9" t="n">
        <v>280</v>
      </c>
      <c r="H43" s="9" t="n">
        <f aca="false">F43*G43</f>
        <v>2800</v>
      </c>
      <c r="I43" s="10" t="n">
        <v>0</v>
      </c>
      <c r="J43" s="9" t="n">
        <f aca="false">H43*(1-I43/100)</f>
        <v>2800</v>
      </c>
      <c r="K43" s="8" t="s">
        <v>60</v>
      </c>
      <c r="L43" s="8" t="n">
        <v>10</v>
      </c>
    </row>
    <row r="44" customFormat="false" ht="15" hidden="false" customHeight="true" outlineLevel="0" collapsed="false">
      <c r="A44" s="5" t="s">
        <v>134</v>
      </c>
      <c r="B44" s="5" t="s">
        <v>62</v>
      </c>
      <c r="C44" s="5" t="s">
        <v>22</v>
      </c>
      <c r="D44" s="5" t="s">
        <v>38</v>
      </c>
      <c r="E44" s="5" t="s">
        <v>49</v>
      </c>
      <c r="F44" s="5" t="n">
        <v>10</v>
      </c>
      <c r="G44" s="6" t="n">
        <v>110</v>
      </c>
      <c r="H44" s="6" t="n">
        <f aca="false">F44*G44</f>
        <v>1100</v>
      </c>
      <c r="I44" s="7" t="n">
        <v>20</v>
      </c>
      <c r="J44" s="6" t="n">
        <f aca="false">H44*(1-I44/100)</f>
        <v>880</v>
      </c>
      <c r="K44" s="5" t="s">
        <v>135</v>
      </c>
      <c r="L44" s="5" t="n">
        <v>6</v>
      </c>
    </row>
    <row r="45" customFormat="false" ht="15" hidden="false" customHeight="true" outlineLevel="0" collapsed="false">
      <c r="A45" s="8" t="s">
        <v>136</v>
      </c>
      <c r="B45" s="8" t="s">
        <v>31</v>
      </c>
      <c r="C45" s="8" t="s">
        <v>32</v>
      </c>
      <c r="D45" s="8" t="s">
        <v>27</v>
      </c>
      <c r="E45" s="8" t="s">
        <v>66</v>
      </c>
      <c r="F45" s="8" t="n">
        <v>9</v>
      </c>
      <c r="G45" s="9" t="n">
        <v>65</v>
      </c>
      <c r="H45" s="9" t="n">
        <f aca="false">F45*G45</f>
        <v>585</v>
      </c>
      <c r="I45" s="10" t="n">
        <v>0</v>
      </c>
      <c r="J45" s="9" t="n">
        <f aca="false">H45*(1-I45/100)</f>
        <v>585</v>
      </c>
      <c r="K45" s="8" t="s">
        <v>137</v>
      </c>
      <c r="L45" s="8" t="n">
        <v>2</v>
      </c>
    </row>
    <row r="46" customFormat="false" ht="15" hidden="false" customHeight="true" outlineLevel="0" collapsed="false">
      <c r="A46" s="5" t="s">
        <v>138</v>
      </c>
      <c r="B46" s="5" t="s">
        <v>131</v>
      </c>
      <c r="C46" s="5" t="s">
        <v>26</v>
      </c>
      <c r="D46" s="5" t="s">
        <v>17</v>
      </c>
      <c r="E46" s="5" t="s">
        <v>117</v>
      </c>
      <c r="F46" s="5" t="n">
        <v>5</v>
      </c>
      <c r="G46" s="6" t="n">
        <v>390</v>
      </c>
      <c r="H46" s="6" t="n">
        <f aca="false">F46*G46</f>
        <v>1950</v>
      </c>
      <c r="I46" s="7" t="n">
        <v>10</v>
      </c>
      <c r="J46" s="6" t="n">
        <f aca="false">H46*(1-I46/100)</f>
        <v>1755</v>
      </c>
      <c r="K46" s="5" t="s">
        <v>139</v>
      </c>
      <c r="L46" s="5" t="n">
        <v>10</v>
      </c>
    </row>
    <row r="47" customFormat="false" ht="15" hidden="false" customHeight="true" outlineLevel="0" collapsed="false">
      <c r="A47" s="8" t="s">
        <v>140</v>
      </c>
      <c r="B47" s="8" t="s">
        <v>109</v>
      </c>
      <c r="C47" s="8" t="s">
        <v>32</v>
      </c>
      <c r="D47" s="8" t="s">
        <v>17</v>
      </c>
      <c r="E47" s="8" t="s">
        <v>18</v>
      </c>
      <c r="F47" s="8" t="n">
        <v>3</v>
      </c>
      <c r="G47" s="9" t="n">
        <v>850</v>
      </c>
      <c r="H47" s="9" t="n">
        <f aca="false">F47*G47</f>
        <v>2550</v>
      </c>
      <c r="I47" s="10" t="n">
        <v>5</v>
      </c>
      <c r="J47" s="9" t="n">
        <f aca="false">H47*(1-I47/100)</f>
        <v>2422.5</v>
      </c>
      <c r="K47" s="8" t="s">
        <v>141</v>
      </c>
      <c r="L47" s="8" t="n">
        <v>10</v>
      </c>
    </row>
    <row r="48" customFormat="false" ht="15" hidden="false" customHeight="true" outlineLevel="0" collapsed="false">
      <c r="A48" s="5" t="s">
        <v>142</v>
      </c>
      <c r="B48" s="5" t="s">
        <v>42</v>
      </c>
      <c r="C48" s="5" t="s">
        <v>16</v>
      </c>
      <c r="D48" s="5" t="s">
        <v>38</v>
      </c>
      <c r="E48" s="5" t="s">
        <v>59</v>
      </c>
      <c r="F48" s="5" t="n">
        <v>5</v>
      </c>
      <c r="G48" s="6" t="n">
        <v>75</v>
      </c>
      <c r="H48" s="6" t="n">
        <f aca="false">F48*G48</f>
        <v>375</v>
      </c>
      <c r="I48" s="7" t="n">
        <v>0</v>
      </c>
      <c r="J48" s="6" t="n">
        <f aca="false">H48*(1-I48/100)</f>
        <v>375</v>
      </c>
      <c r="K48" s="5" t="s">
        <v>143</v>
      </c>
      <c r="L48" s="5" t="n">
        <v>7</v>
      </c>
    </row>
    <row r="49" customFormat="false" ht="15" hidden="false" customHeight="true" outlineLevel="0" collapsed="false">
      <c r="A49" s="8" t="s">
        <v>144</v>
      </c>
      <c r="B49" s="8" t="s">
        <v>31</v>
      </c>
      <c r="C49" s="8" t="s">
        <v>22</v>
      </c>
      <c r="D49" s="8" t="s">
        <v>38</v>
      </c>
      <c r="E49" s="8" t="s">
        <v>39</v>
      </c>
      <c r="F49" s="8" t="n">
        <v>4</v>
      </c>
      <c r="G49" s="9" t="n">
        <v>60</v>
      </c>
      <c r="H49" s="9" t="n">
        <f aca="false">F49*G49</f>
        <v>240</v>
      </c>
      <c r="I49" s="10" t="n">
        <v>10</v>
      </c>
      <c r="J49" s="9" t="n">
        <f aca="false">H49*(1-I49/100)</f>
        <v>216</v>
      </c>
      <c r="K49" s="8" t="s">
        <v>145</v>
      </c>
      <c r="L49" s="8" t="n">
        <v>5</v>
      </c>
    </row>
    <row r="50" customFormat="false" ht="15" hidden="false" customHeight="true" outlineLevel="0" collapsed="false">
      <c r="A50" s="5" t="s">
        <v>146</v>
      </c>
      <c r="B50" s="5" t="s">
        <v>42</v>
      </c>
      <c r="C50" s="5" t="s">
        <v>32</v>
      </c>
      <c r="D50" s="5" t="s">
        <v>38</v>
      </c>
      <c r="E50" s="5" t="s">
        <v>39</v>
      </c>
      <c r="F50" s="5" t="n">
        <v>14</v>
      </c>
      <c r="G50" s="6" t="n">
        <v>60</v>
      </c>
      <c r="H50" s="6" t="n">
        <f aca="false">F50*G50</f>
        <v>840</v>
      </c>
      <c r="I50" s="7" t="n">
        <v>0</v>
      </c>
      <c r="J50" s="6" t="n">
        <f aca="false">H50*(1-I50/100)</f>
        <v>840</v>
      </c>
      <c r="K50" s="5" t="s">
        <v>139</v>
      </c>
      <c r="L50" s="5" t="n">
        <v>8</v>
      </c>
    </row>
    <row r="51" customFormat="false" ht="15" hidden="false" customHeight="true" outlineLevel="0" collapsed="false">
      <c r="A51" s="8" t="s">
        <v>147</v>
      </c>
      <c r="B51" s="8" t="s">
        <v>79</v>
      </c>
      <c r="C51" s="8" t="s">
        <v>26</v>
      </c>
      <c r="D51" s="8" t="s">
        <v>38</v>
      </c>
      <c r="E51" s="8" t="s">
        <v>49</v>
      </c>
      <c r="F51" s="8" t="n">
        <v>6</v>
      </c>
      <c r="G51" s="9" t="n">
        <v>110</v>
      </c>
      <c r="H51" s="9" t="n">
        <f aca="false">F51*G51</f>
        <v>660</v>
      </c>
      <c r="I51" s="10" t="n">
        <v>0</v>
      </c>
      <c r="J51" s="9" t="n">
        <f aca="false">H51*(1-I51/100)</f>
        <v>660</v>
      </c>
      <c r="K51" s="8" t="s">
        <v>148</v>
      </c>
      <c r="L51" s="8" t="n">
        <v>5</v>
      </c>
    </row>
    <row r="52" customFormat="false" ht="15" hidden="false" customHeight="true" outlineLevel="0" collapsed="false">
      <c r="A52" s="5" t="s">
        <v>149</v>
      </c>
      <c r="B52" s="5" t="s">
        <v>79</v>
      </c>
      <c r="C52" s="5" t="s">
        <v>22</v>
      </c>
      <c r="D52" s="5" t="s">
        <v>38</v>
      </c>
      <c r="E52" s="5" t="s">
        <v>59</v>
      </c>
      <c r="F52" s="5" t="n">
        <v>12</v>
      </c>
      <c r="G52" s="6" t="n">
        <v>75</v>
      </c>
      <c r="H52" s="6" t="n">
        <f aca="false">F52*G52</f>
        <v>900</v>
      </c>
      <c r="I52" s="7" t="n">
        <v>10</v>
      </c>
      <c r="J52" s="6" t="n">
        <f aca="false">H52*(1-I52/100)</f>
        <v>810</v>
      </c>
      <c r="K52" s="5" t="s">
        <v>150</v>
      </c>
      <c r="L52" s="5" t="n">
        <v>8</v>
      </c>
    </row>
    <row r="53" customFormat="false" ht="15" hidden="false" customHeight="true" outlineLevel="0" collapsed="false">
      <c r="A53" s="8" t="s">
        <v>151</v>
      </c>
      <c r="B53" s="8" t="s">
        <v>69</v>
      </c>
      <c r="C53" s="8" t="s">
        <v>26</v>
      </c>
      <c r="D53" s="8" t="s">
        <v>91</v>
      </c>
      <c r="E53" s="8" t="s">
        <v>152</v>
      </c>
      <c r="F53" s="8" t="n">
        <v>3</v>
      </c>
      <c r="G53" s="9" t="n">
        <v>80</v>
      </c>
      <c r="H53" s="9" t="n">
        <f aca="false">F53*G53</f>
        <v>240</v>
      </c>
      <c r="I53" s="10" t="n">
        <v>10</v>
      </c>
      <c r="J53" s="9" t="n">
        <f aca="false">H53*(1-I53/100)</f>
        <v>216</v>
      </c>
      <c r="K53" s="8" t="s">
        <v>153</v>
      </c>
      <c r="L53" s="8" t="n">
        <v>10</v>
      </c>
    </row>
    <row r="54" customFormat="false" ht="15" hidden="false" customHeight="true" outlineLevel="0" collapsed="false">
      <c r="A54" s="5" t="s">
        <v>154</v>
      </c>
      <c r="B54" s="5" t="s">
        <v>48</v>
      </c>
      <c r="C54" s="5" t="s">
        <v>16</v>
      </c>
      <c r="D54" s="5" t="s">
        <v>91</v>
      </c>
      <c r="E54" s="5" t="s">
        <v>92</v>
      </c>
      <c r="F54" s="5" t="n">
        <v>4</v>
      </c>
      <c r="G54" s="6" t="n">
        <v>450</v>
      </c>
      <c r="H54" s="6" t="n">
        <f aca="false">F54*G54</f>
        <v>1800</v>
      </c>
      <c r="I54" s="7" t="n">
        <v>10</v>
      </c>
      <c r="J54" s="6" t="n">
        <f aca="false">H54*(1-I54/100)</f>
        <v>1620</v>
      </c>
      <c r="K54" s="5" t="s">
        <v>155</v>
      </c>
      <c r="L54" s="5" t="n">
        <v>3</v>
      </c>
    </row>
    <row r="55" customFormat="false" ht="15" hidden="false" customHeight="true" outlineLevel="0" collapsed="false">
      <c r="A55" s="8" t="s">
        <v>156</v>
      </c>
      <c r="B55" s="8" t="s">
        <v>69</v>
      </c>
      <c r="C55" s="8" t="s">
        <v>16</v>
      </c>
      <c r="D55" s="8" t="s">
        <v>27</v>
      </c>
      <c r="E55" s="8" t="s">
        <v>66</v>
      </c>
      <c r="F55" s="8" t="n">
        <v>12</v>
      </c>
      <c r="G55" s="9" t="n">
        <v>65</v>
      </c>
      <c r="H55" s="9" t="n">
        <f aca="false">F55*G55</f>
        <v>780</v>
      </c>
      <c r="I55" s="10" t="n">
        <v>10</v>
      </c>
      <c r="J55" s="9" t="n">
        <f aca="false">H55*(1-I55/100)</f>
        <v>702</v>
      </c>
      <c r="K55" s="8" t="s">
        <v>157</v>
      </c>
      <c r="L55" s="8" t="n">
        <v>8</v>
      </c>
    </row>
    <row r="56" customFormat="false" ht="15" hidden="false" customHeight="true" outlineLevel="0" collapsed="false">
      <c r="A56" s="5" t="s">
        <v>158</v>
      </c>
      <c r="B56" s="5" t="s">
        <v>79</v>
      </c>
      <c r="C56" s="5" t="s">
        <v>22</v>
      </c>
      <c r="D56" s="5" t="s">
        <v>27</v>
      </c>
      <c r="E56" s="5" t="s">
        <v>53</v>
      </c>
      <c r="F56" s="5" t="n">
        <v>9</v>
      </c>
      <c r="G56" s="6" t="n">
        <v>100</v>
      </c>
      <c r="H56" s="6" t="n">
        <f aca="false">F56*G56</f>
        <v>900</v>
      </c>
      <c r="I56" s="7" t="n">
        <v>0</v>
      </c>
      <c r="J56" s="6" t="n">
        <f aca="false">H56*(1-I56/100)</f>
        <v>900</v>
      </c>
      <c r="K56" s="5" t="s">
        <v>159</v>
      </c>
      <c r="L56" s="5" t="n">
        <v>7</v>
      </c>
    </row>
    <row r="57" customFormat="false" ht="15" hidden="false" customHeight="true" outlineLevel="0" collapsed="false">
      <c r="A57" s="8" t="s">
        <v>160</v>
      </c>
      <c r="B57" s="8" t="s">
        <v>109</v>
      </c>
      <c r="C57" s="8" t="s">
        <v>16</v>
      </c>
      <c r="D57" s="8" t="s">
        <v>33</v>
      </c>
      <c r="E57" s="8" t="s">
        <v>80</v>
      </c>
      <c r="F57" s="8" t="n">
        <v>11</v>
      </c>
      <c r="G57" s="9" t="n">
        <v>30</v>
      </c>
      <c r="H57" s="9" t="n">
        <f aca="false">F57*G57</f>
        <v>330</v>
      </c>
      <c r="I57" s="10" t="n">
        <v>20</v>
      </c>
      <c r="J57" s="9" t="n">
        <f aca="false">H57*(1-I57/100)</f>
        <v>264</v>
      </c>
      <c r="K57" s="8" t="s">
        <v>161</v>
      </c>
      <c r="L57" s="8" t="n">
        <v>6</v>
      </c>
    </row>
    <row r="58" customFormat="false" ht="15" hidden="false" customHeight="true" outlineLevel="0" collapsed="false">
      <c r="A58" s="5" t="s">
        <v>162</v>
      </c>
      <c r="B58" s="5" t="s">
        <v>48</v>
      </c>
      <c r="C58" s="5" t="s">
        <v>22</v>
      </c>
      <c r="D58" s="5" t="s">
        <v>27</v>
      </c>
      <c r="E58" s="5" t="s">
        <v>43</v>
      </c>
      <c r="F58" s="5" t="n">
        <v>14</v>
      </c>
      <c r="G58" s="6" t="n">
        <v>120</v>
      </c>
      <c r="H58" s="6" t="n">
        <f aca="false">F58*G58</f>
        <v>1680</v>
      </c>
      <c r="I58" s="7" t="n">
        <v>10</v>
      </c>
      <c r="J58" s="6" t="n">
        <f aca="false">H58*(1-I58/100)</f>
        <v>1512</v>
      </c>
      <c r="K58" s="5" t="s">
        <v>163</v>
      </c>
      <c r="L58" s="5" t="n">
        <v>5</v>
      </c>
    </row>
    <row r="59" customFormat="false" ht="15" hidden="false" customHeight="true" outlineLevel="0" collapsed="false">
      <c r="A59" s="8" t="s">
        <v>164</v>
      </c>
      <c r="B59" s="8" t="s">
        <v>31</v>
      </c>
      <c r="C59" s="8" t="s">
        <v>16</v>
      </c>
      <c r="D59" s="8" t="s">
        <v>33</v>
      </c>
      <c r="E59" s="8" t="s">
        <v>101</v>
      </c>
      <c r="F59" s="8" t="n">
        <v>6</v>
      </c>
      <c r="G59" s="9" t="n">
        <v>32</v>
      </c>
      <c r="H59" s="9" t="n">
        <f aca="false">F59*G59</f>
        <v>192</v>
      </c>
      <c r="I59" s="10" t="n">
        <v>20</v>
      </c>
      <c r="J59" s="9" t="n">
        <f aca="false">H59*(1-I59/100)</f>
        <v>153.6</v>
      </c>
      <c r="K59" s="8" t="s">
        <v>165</v>
      </c>
      <c r="L59" s="8" t="n">
        <v>6</v>
      </c>
    </row>
    <row r="60" customFormat="false" ht="15" hidden="false" customHeight="true" outlineLevel="0" collapsed="false">
      <c r="A60" s="5" t="s">
        <v>166</v>
      </c>
      <c r="B60" s="5" t="s">
        <v>62</v>
      </c>
      <c r="C60" s="5" t="s">
        <v>26</v>
      </c>
      <c r="D60" s="5" t="s">
        <v>91</v>
      </c>
      <c r="E60" s="5" t="s">
        <v>167</v>
      </c>
      <c r="F60" s="5" t="n">
        <v>14</v>
      </c>
      <c r="G60" s="6" t="n">
        <v>40</v>
      </c>
      <c r="H60" s="6" t="n">
        <f aca="false">F60*G60</f>
        <v>560</v>
      </c>
      <c r="I60" s="7" t="n">
        <v>20</v>
      </c>
      <c r="J60" s="6" t="n">
        <f aca="false">H60*(1-I60/100)</f>
        <v>448</v>
      </c>
      <c r="K60" s="5" t="s">
        <v>168</v>
      </c>
      <c r="L60" s="5" t="n">
        <v>9</v>
      </c>
    </row>
    <row r="61" customFormat="false" ht="15" hidden="false" customHeight="true" outlineLevel="0" collapsed="false">
      <c r="A61" s="8" t="s">
        <v>169</v>
      </c>
      <c r="B61" s="8" t="s">
        <v>65</v>
      </c>
      <c r="C61" s="8" t="s">
        <v>16</v>
      </c>
      <c r="D61" s="8" t="s">
        <v>33</v>
      </c>
      <c r="E61" s="8" t="s">
        <v>98</v>
      </c>
      <c r="F61" s="8" t="n">
        <v>17</v>
      </c>
      <c r="G61" s="9" t="n">
        <v>35</v>
      </c>
      <c r="H61" s="9" t="n">
        <f aca="false">F61*G61</f>
        <v>595</v>
      </c>
      <c r="I61" s="10" t="n">
        <v>15</v>
      </c>
      <c r="J61" s="9" t="n">
        <f aca="false">H61*(1-I61/100)</f>
        <v>505.75</v>
      </c>
      <c r="K61" s="8" t="s">
        <v>170</v>
      </c>
      <c r="L61" s="8" t="n">
        <v>6</v>
      </c>
    </row>
    <row r="62" customFormat="false" ht="15" hidden="false" customHeight="true" outlineLevel="0" collapsed="false">
      <c r="A62" s="5" t="s">
        <v>171</v>
      </c>
      <c r="B62" s="5" t="s">
        <v>48</v>
      </c>
      <c r="C62" s="5" t="s">
        <v>22</v>
      </c>
      <c r="D62" s="5" t="s">
        <v>27</v>
      </c>
      <c r="E62" s="5" t="s">
        <v>76</v>
      </c>
      <c r="F62" s="5" t="n">
        <v>11</v>
      </c>
      <c r="G62" s="6" t="n">
        <v>15</v>
      </c>
      <c r="H62" s="6" t="n">
        <f aca="false">F62*G62</f>
        <v>165</v>
      </c>
      <c r="I62" s="7" t="n">
        <v>0</v>
      </c>
      <c r="J62" s="6" t="n">
        <f aca="false">H62*(1-I62/100)</f>
        <v>165</v>
      </c>
      <c r="K62" s="5" t="s">
        <v>172</v>
      </c>
      <c r="L62" s="5" t="n">
        <v>5</v>
      </c>
    </row>
    <row r="63" customFormat="false" ht="15" hidden="false" customHeight="true" outlineLevel="0" collapsed="false">
      <c r="A63" s="8" t="s">
        <v>173</v>
      </c>
      <c r="B63" s="8" t="s">
        <v>109</v>
      </c>
      <c r="C63" s="8" t="s">
        <v>16</v>
      </c>
      <c r="D63" s="8" t="s">
        <v>38</v>
      </c>
      <c r="E63" s="8" t="s">
        <v>174</v>
      </c>
      <c r="F63" s="8" t="n">
        <v>2</v>
      </c>
      <c r="G63" s="9" t="n">
        <v>25</v>
      </c>
      <c r="H63" s="9" t="n">
        <f aca="false">F63*G63</f>
        <v>50</v>
      </c>
      <c r="I63" s="10" t="n">
        <v>5</v>
      </c>
      <c r="J63" s="9" t="n">
        <f aca="false">H63*(1-I63/100)</f>
        <v>47.5</v>
      </c>
      <c r="K63" s="8" t="s">
        <v>175</v>
      </c>
      <c r="L63" s="8" t="n">
        <v>9</v>
      </c>
    </row>
    <row r="64" customFormat="false" ht="15" hidden="false" customHeight="true" outlineLevel="0" collapsed="false">
      <c r="A64" s="5" t="s">
        <v>176</v>
      </c>
      <c r="B64" s="5" t="s">
        <v>21</v>
      </c>
      <c r="C64" s="5" t="s">
        <v>22</v>
      </c>
      <c r="D64" s="5" t="s">
        <v>33</v>
      </c>
      <c r="E64" s="5" t="s">
        <v>34</v>
      </c>
      <c r="F64" s="5" t="n">
        <v>7</v>
      </c>
      <c r="G64" s="6" t="n">
        <v>29</v>
      </c>
      <c r="H64" s="6" t="n">
        <f aca="false">F64*G64</f>
        <v>203</v>
      </c>
      <c r="I64" s="7" t="n">
        <v>15</v>
      </c>
      <c r="J64" s="6" t="n">
        <f aca="false">H64*(1-I64/100)</f>
        <v>172.55</v>
      </c>
      <c r="K64" s="5" t="s">
        <v>177</v>
      </c>
      <c r="L64" s="5" t="n">
        <v>2</v>
      </c>
    </row>
    <row r="65" customFormat="false" ht="15" hidden="false" customHeight="true" outlineLevel="0" collapsed="false">
      <c r="A65" s="8" t="s">
        <v>178</v>
      </c>
      <c r="B65" s="8" t="s">
        <v>131</v>
      </c>
      <c r="C65" s="8" t="s">
        <v>16</v>
      </c>
      <c r="D65" s="8" t="s">
        <v>17</v>
      </c>
      <c r="E65" s="8" t="s">
        <v>83</v>
      </c>
      <c r="F65" s="8" t="n">
        <v>8</v>
      </c>
      <c r="G65" s="9" t="n">
        <v>150</v>
      </c>
      <c r="H65" s="9" t="n">
        <f aca="false">F65*G65</f>
        <v>1200</v>
      </c>
      <c r="I65" s="10" t="n">
        <v>5</v>
      </c>
      <c r="J65" s="9" t="n">
        <f aca="false">H65*(1-I65/100)</f>
        <v>1140</v>
      </c>
      <c r="K65" s="8" t="s">
        <v>179</v>
      </c>
      <c r="L65" s="8" t="n">
        <v>10</v>
      </c>
    </row>
    <row r="66" customFormat="false" ht="15" hidden="false" customHeight="true" outlineLevel="0" collapsed="false">
      <c r="A66" s="5" t="s">
        <v>180</v>
      </c>
      <c r="B66" s="5" t="s">
        <v>69</v>
      </c>
      <c r="C66" s="5" t="s">
        <v>32</v>
      </c>
      <c r="D66" s="5" t="s">
        <v>38</v>
      </c>
      <c r="E66" s="5" t="s">
        <v>174</v>
      </c>
      <c r="F66" s="5" t="n">
        <v>15</v>
      </c>
      <c r="G66" s="6" t="n">
        <v>25</v>
      </c>
      <c r="H66" s="6" t="n">
        <f aca="false">F66*G66</f>
        <v>375</v>
      </c>
      <c r="I66" s="7" t="n">
        <v>5</v>
      </c>
      <c r="J66" s="6" t="n">
        <f aca="false">H66*(1-I66/100)</f>
        <v>356.25</v>
      </c>
      <c r="K66" s="5" t="s">
        <v>181</v>
      </c>
      <c r="L66" s="5" t="n">
        <v>9</v>
      </c>
    </row>
    <row r="67" customFormat="false" ht="15" hidden="false" customHeight="true" outlineLevel="0" collapsed="false">
      <c r="A67" s="8" t="s">
        <v>182</v>
      </c>
      <c r="B67" s="8" t="s">
        <v>15</v>
      </c>
      <c r="C67" s="8" t="s">
        <v>26</v>
      </c>
      <c r="D67" s="8" t="s">
        <v>27</v>
      </c>
      <c r="E67" s="8" t="s">
        <v>76</v>
      </c>
      <c r="F67" s="8" t="n">
        <v>14</v>
      </c>
      <c r="G67" s="9" t="n">
        <v>15</v>
      </c>
      <c r="H67" s="9" t="n">
        <f aca="false">F67*G67</f>
        <v>210</v>
      </c>
      <c r="I67" s="10" t="n">
        <v>20</v>
      </c>
      <c r="J67" s="9" t="n">
        <f aca="false">H67*(1-I67/100)</f>
        <v>168</v>
      </c>
      <c r="K67" s="8" t="s">
        <v>183</v>
      </c>
      <c r="L67" s="8" t="n">
        <v>9</v>
      </c>
    </row>
    <row r="68" customFormat="false" ht="15" hidden="false" customHeight="true" outlineLevel="0" collapsed="false">
      <c r="A68" s="5" t="s">
        <v>184</v>
      </c>
      <c r="B68" s="5" t="s">
        <v>21</v>
      </c>
      <c r="C68" s="5" t="s">
        <v>32</v>
      </c>
      <c r="D68" s="5" t="s">
        <v>91</v>
      </c>
      <c r="E68" s="5" t="s">
        <v>167</v>
      </c>
      <c r="F68" s="5" t="n">
        <v>9</v>
      </c>
      <c r="G68" s="6" t="n">
        <v>40</v>
      </c>
      <c r="H68" s="6" t="n">
        <f aca="false">F68*G68</f>
        <v>360</v>
      </c>
      <c r="I68" s="7" t="n">
        <v>20</v>
      </c>
      <c r="J68" s="6" t="n">
        <f aca="false">H68*(1-I68/100)</f>
        <v>288</v>
      </c>
      <c r="K68" s="5" t="s">
        <v>185</v>
      </c>
      <c r="L68" s="5" t="n">
        <v>9</v>
      </c>
    </row>
    <row r="69" customFormat="false" ht="15" hidden="false" customHeight="true" outlineLevel="0" collapsed="false">
      <c r="A69" s="8" t="s">
        <v>186</v>
      </c>
      <c r="B69" s="8" t="s">
        <v>42</v>
      </c>
      <c r="C69" s="8" t="s">
        <v>16</v>
      </c>
      <c r="D69" s="8" t="s">
        <v>17</v>
      </c>
      <c r="E69" s="8" t="s">
        <v>117</v>
      </c>
      <c r="F69" s="8" t="n">
        <v>8</v>
      </c>
      <c r="G69" s="9" t="n">
        <v>390</v>
      </c>
      <c r="H69" s="9" t="n">
        <f aca="false">F69*G69</f>
        <v>3120</v>
      </c>
      <c r="I69" s="10" t="n">
        <v>10</v>
      </c>
      <c r="J69" s="9" t="n">
        <f aca="false">H69*(1-I69/100)</f>
        <v>2808</v>
      </c>
      <c r="K69" s="8" t="s">
        <v>187</v>
      </c>
      <c r="L69" s="8" t="n">
        <v>4</v>
      </c>
    </row>
    <row r="70" customFormat="false" ht="15" hidden="false" customHeight="true" outlineLevel="0" collapsed="false">
      <c r="A70" s="5" t="s">
        <v>188</v>
      </c>
      <c r="B70" s="5" t="s">
        <v>37</v>
      </c>
      <c r="C70" s="5" t="s">
        <v>26</v>
      </c>
      <c r="D70" s="5" t="s">
        <v>38</v>
      </c>
      <c r="E70" s="5" t="s">
        <v>39</v>
      </c>
      <c r="F70" s="5" t="n">
        <v>13</v>
      </c>
      <c r="G70" s="6" t="n">
        <v>60</v>
      </c>
      <c r="H70" s="6" t="n">
        <f aca="false">F70*G70</f>
        <v>780</v>
      </c>
      <c r="I70" s="7" t="n">
        <v>5</v>
      </c>
      <c r="J70" s="6" t="n">
        <f aca="false">H70*(1-I70/100)</f>
        <v>741</v>
      </c>
      <c r="K70" s="5" t="s">
        <v>189</v>
      </c>
      <c r="L70" s="5" t="n">
        <v>8</v>
      </c>
    </row>
    <row r="71" customFormat="false" ht="15" hidden="false" customHeight="true" outlineLevel="0" collapsed="false">
      <c r="A71" s="8" t="s">
        <v>190</v>
      </c>
      <c r="B71" s="8" t="s">
        <v>109</v>
      </c>
      <c r="C71" s="8" t="s">
        <v>26</v>
      </c>
      <c r="D71" s="8" t="s">
        <v>91</v>
      </c>
      <c r="E71" s="8" t="s">
        <v>191</v>
      </c>
      <c r="F71" s="8" t="n">
        <v>15</v>
      </c>
      <c r="G71" s="9" t="n">
        <v>35</v>
      </c>
      <c r="H71" s="9" t="n">
        <f aca="false">F71*G71</f>
        <v>525</v>
      </c>
      <c r="I71" s="10" t="n">
        <v>15</v>
      </c>
      <c r="J71" s="9" t="n">
        <f aca="false">H71*(1-I71/100)</f>
        <v>446.25</v>
      </c>
      <c r="K71" s="8" t="s">
        <v>192</v>
      </c>
      <c r="L71" s="8" t="n">
        <v>8</v>
      </c>
    </row>
    <row r="72" customFormat="false" ht="15" hidden="false" customHeight="true" outlineLevel="0" collapsed="false">
      <c r="A72" s="5" t="s">
        <v>193</v>
      </c>
      <c r="B72" s="5" t="s">
        <v>62</v>
      </c>
      <c r="C72" s="5" t="s">
        <v>32</v>
      </c>
      <c r="D72" s="5" t="s">
        <v>27</v>
      </c>
      <c r="E72" s="5" t="s">
        <v>28</v>
      </c>
      <c r="F72" s="5" t="n">
        <v>19</v>
      </c>
      <c r="G72" s="6" t="n">
        <v>45</v>
      </c>
      <c r="H72" s="6" t="n">
        <f aca="false">F72*G72</f>
        <v>855</v>
      </c>
      <c r="I72" s="7" t="n">
        <v>15</v>
      </c>
      <c r="J72" s="6" t="n">
        <f aca="false">H72*(1-I72/100)</f>
        <v>726.75</v>
      </c>
      <c r="K72" s="5" t="s">
        <v>194</v>
      </c>
      <c r="L72" s="5" t="n">
        <v>8</v>
      </c>
    </row>
    <row r="73" customFormat="false" ht="15" hidden="false" customHeight="true" outlineLevel="0" collapsed="false">
      <c r="A73" s="8" t="s">
        <v>195</v>
      </c>
      <c r="B73" s="8" t="s">
        <v>21</v>
      </c>
      <c r="C73" s="8" t="s">
        <v>32</v>
      </c>
      <c r="D73" s="8" t="s">
        <v>33</v>
      </c>
      <c r="E73" s="8" t="s">
        <v>34</v>
      </c>
      <c r="F73" s="8" t="n">
        <v>18</v>
      </c>
      <c r="G73" s="9" t="n">
        <v>29</v>
      </c>
      <c r="H73" s="9" t="n">
        <f aca="false">F73*G73</f>
        <v>522</v>
      </c>
      <c r="I73" s="10" t="n">
        <v>20</v>
      </c>
      <c r="J73" s="9" t="n">
        <f aca="false">H73*(1-I73/100)</f>
        <v>417.6</v>
      </c>
      <c r="K73" s="8" t="s">
        <v>196</v>
      </c>
      <c r="L73" s="8" t="n">
        <v>8</v>
      </c>
    </row>
    <row r="74" customFormat="false" ht="15" hidden="false" customHeight="true" outlineLevel="0" collapsed="false">
      <c r="A74" s="5" t="s">
        <v>197</v>
      </c>
      <c r="B74" s="5" t="s">
        <v>112</v>
      </c>
      <c r="C74" s="5" t="s">
        <v>26</v>
      </c>
      <c r="D74" s="5" t="s">
        <v>33</v>
      </c>
      <c r="E74" s="5" t="s">
        <v>80</v>
      </c>
      <c r="F74" s="5" t="n">
        <v>13</v>
      </c>
      <c r="G74" s="6" t="n">
        <v>30</v>
      </c>
      <c r="H74" s="6" t="n">
        <f aca="false">F74*G74</f>
        <v>390</v>
      </c>
      <c r="I74" s="7" t="n">
        <v>10</v>
      </c>
      <c r="J74" s="6" t="n">
        <f aca="false">H74*(1-I74/100)</f>
        <v>351</v>
      </c>
      <c r="K74" s="5" t="s">
        <v>198</v>
      </c>
      <c r="L74" s="5" t="n">
        <v>4</v>
      </c>
    </row>
    <row r="75" customFormat="false" ht="15" hidden="false" customHeight="true" outlineLevel="0" collapsed="false">
      <c r="A75" s="8" t="s">
        <v>199</v>
      </c>
      <c r="B75" s="8" t="s">
        <v>97</v>
      </c>
      <c r="C75" s="8" t="s">
        <v>16</v>
      </c>
      <c r="D75" s="8" t="s">
        <v>33</v>
      </c>
      <c r="E75" s="8" t="s">
        <v>98</v>
      </c>
      <c r="F75" s="8" t="n">
        <v>20</v>
      </c>
      <c r="G75" s="9" t="n">
        <v>35</v>
      </c>
      <c r="H75" s="9" t="n">
        <f aca="false">F75*G75</f>
        <v>700</v>
      </c>
      <c r="I75" s="10" t="n">
        <v>20</v>
      </c>
      <c r="J75" s="9" t="n">
        <f aca="false">H75*(1-I75/100)</f>
        <v>560</v>
      </c>
      <c r="K75" s="8" t="s">
        <v>104</v>
      </c>
      <c r="L75" s="8" t="n">
        <v>3</v>
      </c>
    </row>
    <row r="76" customFormat="false" ht="15" hidden="false" customHeight="true" outlineLevel="0" collapsed="false">
      <c r="A76" s="5" t="s">
        <v>200</v>
      </c>
      <c r="B76" s="5" t="s">
        <v>31</v>
      </c>
      <c r="C76" s="5" t="s">
        <v>32</v>
      </c>
      <c r="D76" s="5" t="s">
        <v>33</v>
      </c>
      <c r="E76" s="5" t="s">
        <v>98</v>
      </c>
      <c r="F76" s="5" t="n">
        <v>15</v>
      </c>
      <c r="G76" s="6" t="n">
        <v>35</v>
      </c>
      <c r="H76" s="6" t="n">
        <f aca="false">F76*G76</f>
        <v>525</v>
      </c>
      <c r="I76" s="7" t="n">
        <v>5</v>
      </c>
      <c r="J76" s="6" t="n">
        <f aca="false">H76*(1-I76/100)</f>
        <v>498.75</v>
      </c>
      <c r="K76" s="5" t="s">
        <v>201</v>
      </c>
      <c r="L76" s="5" t="n">
        <v>5</v>
      </c>
    </row>
    <row r="77" customFormat="false" ht="15" hidden="false" customHeight="true" outlineLevel="0" collapsed="false">
      <c r="A77" s="8" t="s">
        <v>202</v>
      </c>
      <c r="B77" s="8" t="s">
        <v>109</v>
      </c>
      <c r="C77" s="8" t="s">
        <v>26</v>
      </c>
      <c r="D77" s="8" t="s">
        <v>33</v>
      </c>
      <c r="E77" s="8" t="s">
        <v>88</v>
      </c>
      <c r="F77" s="8" t="n">
        <v>11</v>
      </c>
      <c r="G77" s="9" t="n">
        <v>28</v>
      </c>
      <c r="H77" s="9" t="n">
        <f aca="false">F77*G77</f>
        <v>308</v>
      </c>
      <c r="I77" s="10" t="n">
        <v>15</v>
      </c>
      <c r="J77" s="9" t="n">
        <f aca="false">H77*(1-I77/100)</f>
        <v>261.8</v>
      </c>
      <c r="K77" s="8" t="s">
        <v>203</v>
      </c>
      <c r="L77" s="8" t="n">
        <v>6</v>
      </c>
    </row>
    <row r="78" customFormat="false" ht="15" hidden="false" customHeight="true" outlineLevel="0" collapsed="false">
      <c r="A78" s="5" t="s">
        <v>204</v>
      </c>
      <c r="B78" s="5" t="s">
        <v>21</v>
      </c>
      <c r="C78" s="5" t="s">
        <v>16</v>
      </c>
      <c r="D78" s="5" t="s">
        <v>17</v>
      </c>
      <c r="E78" s="5" t="s">
        <v>83</v>
      </c>
      <c r="F78" s="5" t="n">
        <v>1</v>
      </c>
      <c r="G78" s="6" t="n">
        <v>150</v>
      </c>
      <c r="H78" s="6" t="n">
        <f aca="false">F78*G78</f>
        <v>150</v>
      </c>
      <c r="I78" s="7" t="n">
        <v>20</v>
      </c>
      <c r="J78" s="6" t="n">
        <f aca="false">H78*(1-I78/100)</f>
        <v>120</v>
      </c>
      <c r="K78" s="5" t="s">
        <v>205</v>
      </c>
      <c r="L78" s="5" t="n">
        <v>2</v>
      </c>
    </row>
    <row r="79" customFormat="false" ht="15" hidden="false" customHeight="true" outlineLevel="0" collapsed="false">
      <c r="A79" s="8" t="s">
        <v>206</v>
      </c>
      <c r="B79" s="8" t="s">
        <v>21</v>
      </c>
      <c r="C79" s="8" t="s">
        <v>22</v>
      </c>
      <c r="D79" s="8" t="s">
        <v>17</v>
      </c>
      <c r="E79" s="8" t="s">
        <v>56</v>
      </c>
      <c r="F79" s="8" t="n">
        <v>7</v>
      </c>
      <c r="G79" s="9" t="n">
        <v>620</v>
      </c>
      <c r="H79" s="9" t="n">
        <f aca="false">F79*G79</f>
        <v>4340</v>
      </c>
      <c r="I79" s="10" t="n">
        <v>0</v>
      </c>
      <c r="J79" s="9" t="n">
        <f aca="false">H79*(1-I79/100)</f>
        <v>4340</v>
      </c>
      <c r="K79" s="8" t="s">
        <v>207</v>
      </c>
      <c r="L79" s="8" t="n">
        <v>9</v>
      </c>
    </row>
    <row r="80" customFormat="false" ht="15" hidden="false" customHeight="true" outlineLevel="0" collapsed="false">
      <c r="A80" s="5" t="s">
        <v>208</v>
      </c>
      <c r="B80" s="5" t="s">
        <v>112</v>
      </c>
      <c r="C80" s="5" t="s">
        <v>32</v>
      </c>
      <c r="D80" s="5" t="s">
        <v>17</v>
      </c>
      <c r="E80" s="5" t="s">
        <v>23</v>
      </c>
      <c r="F80" s="5" t="n">
        <v>7</v>
      </c>
      <c r="G80" s="6" t="n">
        <v>280</v>
      </c>
      <c r="H80" s="6" t="n">
        <f aca="false">F80*G80</f>
        <v>1960</v>
      </c>
      <c r="I80" s="7" t="n">
        <v>15</v>
      </c>
      <c r="J80" s="6" t="n">
        <f aca="false">H80*(1-I80/100)</f>
        <v>1666</v>
      </c>
      <c r="K80" s="5" t="s">
        <v>209</v>
      </c>
      <c r="L80" s="5" t="n">
        <v>4</v>
      </c>
    </row>
    <row r="81" customFormat="false" ht="15" hidden="false" customHeight="true" outlineLevel="0" collapsed="false">
      <c r="A81" s="8" t="s">
        <v>210</v>
      </c>
      <c r="B81" s="8" t="s">
        <v>97</v>
      </c>
      <c r="C81" s="8" t="s">
        <v>16</v>
      </c>
      <c r="D81" s="8" t="s">
        <v>27</v>
      </c>
      <c r="E81" s="8" t="s">
        <v>76</v>
      </c>
      <c r="F81" s="8" t="n">
        <v>4</v>
      </c>
      <c r="G81" s="9" t="n">
        <v>15</v>
      </c>
      <c r="H81" s="9" t="n">
        <f aca="false">F81*G81</f>
        <v>60</v>
      </c>
      <c r="I81" s="10" t="n">
        <v>5</v>
      </c>
      <c r="J81" s="9" t="n">
        <f aca="false">H81*(1-I81/100)</f>
        <v>57</v>
      </c>
      <c r="K81" s="8" t="s">
        <v>211</v>
      </c>
      <c r="L81" s="8" t="n">
        <v>6</v>
      </c>
    </row>
    <row r="82" customFormat="false" ht="15" hidden="false" customHeight="true" outlineLevel="0" collapsed="false">
      <c r="A82" s="5" t="s">
        <v>212</v>
      </c>
      <c r="B82" s="5" t="s">
        <v>15</v>
      </c>
      <c r="C82" s="5" t="s">
        <v>22</v>
      </c>
      <c r="D82" s="5" t="s">
        <v>27</v>
      </c>
      <c r="E82" s="5" t="s">
        <v>66</v>
      </c>
      <c r="F82" s="5" t="n">
        <v>13</v>
      </c>
      <c r="G82" s="6" t="n">
        <v>65</v>
      </c>
      <c r="H82" s="6" t="n">
        <f aca="false">F82*G82</f>
        <v>845</v>
      </c>
      <c r="I82" s="7" t="n">
        <v>5</v>
      </c>
      <c r="J82" s="6" t="n">
        <f aca="false">H82*(1-I82/100)</f>
        <v>802.75</v>
      </c>
      <c r="K82" s="5" t="s">
        <v>213</v>
      </c>
      <c r="L82" s="5" t="n">
        <v>3</v>
      </c>
    </row>
    <row r="83" customFormat="false" ht="15" hidden="false" customHeight="true" outlineLevel="0" collapsed="false">
      <c r="A83" s="8" t="s">
        <v>214</v>
      </c>
      <c r="B83" s="8" t="s">
        <v>69</v>
      </c>
      <c r="C83" s="8" t="s">
        <v>26</v>
      </c>
      <c r="D83" s="8" t="s">
        <v>91</v>
      </c>
      <c r="E83" s="8" t="s">
        <v>191</v>
      </c>
      <c r="F83" s="8" t="n">
        <v>4</v>
      </c>
      <c r="G83" s="9" t="n">
        <v>35</v>
      </c>
      <c r="H83" s="9" t="n">
        <f aca="false">F83*G83</f>
        <v>140</v>
      </c>
      <c r="I83" s="10" t="n">
        <v>20</v>
      </c>
      <c r="J83" s="9" t="n">
        <f aca="false">H83*(1-I83/100)</f>
        <v>112</v>
      </c>
      <c r="K83" s="8" t="s">
        <v>205</v>
      </c>
      <c r="L83" s="8" t="n">
        <v>7</v>
      </c>
    </row>
    <row r="84" customFormat="false" ht="15" hidden="false" customHeight="true" outlineLevel="0" collapsed="false">
      <c r="A84" s="5" t="s">
        <v>215</v>
      </c>
      <c r="B84" s="5" t="s">
        <v>131</v>
      </c>
      <c r="C84" s="5" t="s">
        <v>16</v>
      </c>
      <c r="D84" s="5" t="s">
        <v>17</v>
      </c>
      <c r="E84" s="5" t="s">
        <v>23</v>
      </c>
      <c r="F84" s="5" t="n">
        <v>11</v>
      </c>
      <c r="G84" s="6" t="n">
        <v>280</v>
      </c>
      <c r="H84" s="6" t="n">
        <f aca="false">F84*G84</f>
        <v>3080</v>
      </c>
      <c r="I84" s="7" t="n">
        <v>0</v>
      </c>
      <c r="J84" s="6" t="n">
        <f aca="false">H84*(1-I84/100)</f>
        <v>3080</v>
      </c>
      <c r="K84" s="5" t="s">
        <v>216</v>
      </c>
      <c r="L84" s="5" t="n">
        <v>8</v>
      </c>
    </row>
    <row r="85" customFormat="false" ht="15" hidden="false" customHeight="true" outlineLevel="0" collapsed="false">
      <c r="A85" s="8" t="s">
        <v>217</v>
      </c>
      <c r="B85" s="8" t="s">
        <v>69</v>
      </c>
      <c r="C85" s="8" t="s">
        <v>32</v>
      </c>
      <c r="D85" s="8" t="s">
        <v>91</v>
      </c>
      <c r="E85" s="8" t="s">
        <v>126</v>
      </c>
      <c r="F85" s="8" t="n">
        <v>5</v>
      </c>
      <c r="G85" s="9" t="n">
        <v>55</v>
      </c>
      <c r="H85" s="9" t="n">
        <f aca="false">F85*G85</f>
        <v>275</v>
      </c>
      <c r="I85" s="10" t="n">
        <v>15</v>
      </c>
      <c r="J85" s="9" t="n">
        <f aca="false">H85*(1-I85/100)</f>
        <v>233.75</v>
      </c>
      <c r="K85" s="8" t="s">
        <v>139</v>
      </c>
      <c r="L85" s="8" t="n">
        <v>10</v>
      </c>
    </row>
    <row r="86" customFormat="false" ht="15" hidden="false" customHeight="true" outlineLevel="0" collapsed="false">
      <c r="A86" s="5" t="s">
        <v>218</v>
      </c>
      <c r="B86" s="5" t="s">
        <v>109</v>
      </c>
      <c r="C86" s="5" t="s">
        <v>22</v>
      </c>
      <c r="D86" s="5" t="s">
        <v>33</v>
      </c>
      <c r="E86" s="5" t="s">
        <v>101</v>
      </c>
      <c r="F86" s="5" t="n">
        <v>14</v>
      </c>
      <c r="G86" s="6" t="n">
        <v>32</v>
      </c>
      <c r="H86" s="6" t="n">
        <f aca="false">F86*G86</f>
        <v>448</v>
      </c>
      <c r="I86" s="7" t="n">
        <v>20</v>
      </c>
      <c r="J86" s="6" t="n">
        <f aca="false">H86*(1-I86/100)</f>
        <v>358.4</v>
      </c>
      <c r="K86" s="5" t="s">
        <v>219</v>
      </c>
      <c r="L86" s="5" t="n">
        <v>3</v>
      </c>
    </row>
    <row r="87" customFormat="false" ht="15" hidden="false" customHeight="true" outlineLevel="0" collapsed="false">
      <c r="A87" s="8" t="s">
        <v>220</v>
      </c>
      <c r="B87" s="8" t="s">
        <v>65</v>
      </c>
      <c r="C87" s="8" t="s">
        <v>26</v>
      </c>
      <c r="D87" s="8" t="s">
        <v>91</v>
      </c>
      <c r="E87" s="8" t="s">
        <v>126</v>
      </c>
      <c r="F87" s="8" t="n">
        <v>8</v>
      </c>
      <c r="G87" s="9" t="n">
        <v>55</v>
      </c>
      <c r="H87" s="9" t="n">
        <f aca="false">F87*G87</f>
        <v>440</v>
      </c>
      <c r="I87" s="10" t="n">
        <v>15</v>
      </c>
      <c r="J87" s="9" t="n">
        <f aca="false">H87*(1-I87/100)</f>
        <v>374</v>
      </c>
      <c r="K87" s="8" t="s">
        <v>221</v>
      </c>
      <c r="L87" s="8" t="n">
        <v>7</v>
      </c>
    </row>
    <row r="88" customFormat="false" ht="15" hidden="false" customHeight="true" outlineLevel="0" collapsed="false">
      <c r="A88" s="5" t="s">
        <v>222</v>
      </c>
      <c r="B88" s="5" t="s">
        <v>62</v>
      </c>
      <c r="C88" s="5" t="s">
        <v>32</v>
      </c>
      <c r="D88" s="5" t="s">
        <v>17</v>
      </c>
      <c r="E88" s="5" t="s">
        <v>83</v>
      </c>
      <c r="F88" s="5" t="n">
        <v>11</v>
      </c>
      <c r="G88" s="6" t="n">
        <v>150</v>
      </c>
      <c r="H88" s="6" t="n">
        <f aca="false">F88*G88</f>
        <v>1650</v>
      </c>
      <c r="I88" s="7" t="n">
        <v>5</v>
      </c>
      <c r="J88" s="6" t="n">
        <f aca="false">H88*(1-I88/100)</f>
        <v>1567.5</v>
      </c>
      <c r="K88" s="5" t="s">
        <v>110</v>
      </c>
      <c r="L88" s="5" t="n">
        <v>7</v>
      </c>
    </row>
    <row r="89" customFormat="false" ht="15" hidden="false" customHeight="true" outlineLevel="0" collapsed="false">
      <c r="A89" s="8" t="s">
        <v>223</v>
      </c>
      <c r="B89" s="8" t="s">
        <v>21</v>
      </c>
      <c r="C89" s="8" t="s">
        <v>16</v>
      </c>
      <c r="D89" s="8" t="s">
        <v>91</v>
      </c>
      <c r="E89" s="8" t="s">
        <v>191</v>
      </c>
      <c r="F89" s="8" t="n">
        <v>9</v>
      </c>
      <c r="G89" s="9" t="n">
        <v>35</v>
      </c>
      <c r="H89" s="9" t="n">
        <f aca="false">F89*G89</f>
        <v>315</v>
      </c>
      <c r="I89" s="10" t="n">
        <v>20</v>
      </c>
      <c r="J89" s="9" t="n">
        <f aca="false">H89*(1-I89/100)</f>
        <v>252</v>
      </c>
      <c r="K89" s="8" t="s">
        <v>224</v>
      </c>
      <c r="L89" s="8" t="n">
        <v>5</v>
      </c>
    </row>
    <row r="90" customFormat="false" ht="15" hidden="false" customHeight="true" outlineLevel="0" collapsed="false">
      <c r="A90" s="5" t="s">
        <v>225</v>
      </c>
      <c r="B90" s="5" t="s">
        <v>65</v>
      </c>
      <c r="C90" s="5" t="s">
        <v>26</v>
      </c>
      <c r="D90" s="5" t="s">
        <v>33</v>
      </c>
      <c r="E90" s="5" t="s">
        <v>101</v>
      </c>
      <c r="F90" s="5" t="n">
        <v>18</v>
      </c>
      <c r="G90" s="6" t="n">
        <v>32</v>
      </c>
      <c r="H90" s="6" t="n">
        <f aca="false">F90*G90</f>
        <v>576</v>
      </c>
      <c r="I90" s="7" t="n">
        <v>5</v>
      </c>
      <c r="J90" s="6" t="n">
        <f aca="false">H90*(1-I90/100)</f>
        <v>547.2</v>
      </c>
      <c r="K90" s="5" t="s">
        <v>226</v>
      </c>
      <c r="L90" s="5" t="n">
        <v>9</v>
      </c>
    </row>
    <row r="91" customFormat="false" ht="15" hidden="false" customHeight="true" outlineLevel="0" collapsed="false">
      <c r="A91" s="8" t="s">
        <v>227</v>
      </c>
      <c r="B91" s="8" t="s">
        <v>21</v>
      </c>
      <c r="C91" s="8" t="s">
        <v>32</v>
      </c>
      <c r="D91" s="8" t="s">
        <v>17</v>
      </c>
      <c r="E91" s="8" t="s">
        <v>18</v>
      </c>
      <c r="F91" s="8" t="n">
        <v>10</v>
      </c>
      <c r="G91" s="9" t="n">
        <v>850</v>
      </c>
      <c r="H91" s="9" t="n">
        <f aca="false">F91*G91</f>
        <v>8500</v>
      </c>
      <c r="I91" s="10" t="n">
        <v>5</v>
      </c>
      <c r="J91" s="9" t="n">
        <f aca="false">H91*(1-I91/100)</f>
        <v>8075</v>
      </c>
      <c r="K91" s="8" t="s">
        <v>163</v>
      </c>
      <c r="L91" s="8" t="n">
        <v>7</v>
      </c>
    </row>
    <row r="92" customFormat="false" ht="15" hidden="false" customHeight="true" outlineLevel="0" collapsed="false">
      <c r="A92" s="5" t="s">
        <v>228</v>
      </c>
      <c r="B92" s="5" t="s">
        <v>69</v>
      </c>
      <c r="C92" s="5" t="s">
        <v>32</v>
      </c>
      <c r="D92" s="5" t="s">
        <v>33</v>
      </c>
      <c r="E92" s="5" t="s">
        <v>34</v>
      </c>
      <c r="F92" s="5" t="n">
        <v>17</v>
      </c>
      <c r="G92" s="6" t="n">
        <v>29</v>
      </c>
      <c r="H92" s="6" t="n">
        <f aca="false">F92*G92</f>
        <v>493</v>
      </c>
      <c r="I92" s="7" t="n">
        <v>10</v>
      </c>
      <c r="J92" s="6" t="n">
        <f aca="false">H92*(1-I92/100)</f>
        <v>443.7</v>
      </c>
      <c r="K92" s="5" t="s">
        <v>229</v>
      </c>
      <c r="L92" s="5" t="n">
        <v>7</v>
      </c>
    </row>
    <row r="93" customFormat="false" ht="15" hidden="false" customHeight="true" outlineLevel="0" collapsed="false">
      <c r="A93" s="8" t="s">
        <v>230</v>
      </c>
      <c r="B93" s="8" t="s">
        <v>15</v>
      </c>
      <c r="C93" s="8" t="s">
        <v>22</v>
      </c>
      <c r="D93" s="8" t="s">
        <v>33</v>
      </c>
      <c r="E93" s="8" t="s">
        <v>88</v>
      </c>
      <c r="F93" s="8" t="n">
        <v>10</v>
      </c>
      <c r="G93" s="9" t="n">
        <v>28</v>
      </c>
      <c r="H93" s="9" t="n">
        <f aca="false">F93*G93</f>
        <v>280</v>
      </c>
      <c r="I93" s="10" t="n">
        <v>10</v>
      </c>
      <c r="J93" s="9" t="n">
        <f aca="false">H93*(1-I93/100)</f>
        <v>252</v>
      </c>
      <c r="K93" s="8" t="s">
        <v>231</v>
      </c>
      <c r="L93" s="8" t="n">
        <v>7</v>
      </c>
    </row>
    <row r="94" customFormat="false" ht="15" hidden="false" customHeight="true" outlineLevel="0" collapsed="false">
      <c r="A94" s="5" t="s">
        <v>232</v>
      </c>
      <c r="B94" s="5" t="s">
        <v>131</v>
      </c>
      <c r="C94" s="5" t="s">
        <v>32</v>
      </c>
      <c r="D94" s="5" t="s">
        <v>17</v>
      </c>
      <c r="E94" s="5" t="s">
        <v>23</v>
      </c>
      <c r="F94" s="5" t="n">
        <v>6</v>
      </c>
      <c r="G94" s="6" t="n">
        <v>280</v>
      </c>
      <c r="H94" s="6" t="n">
        <f aca="false">F94*G94</f>
        <v>1680</v>
      </c>
      <c r="I94" s="7" t="n">
        <v>5</v>
      </c>
      <c r="J94" s="6" t="n">
        <f aca="false">H94*(1-I94/100)</f>
        <v>1596</v>
      </c>
      <c r="K94" s="5" t="s">
        <v>233</v>
      </c>
      <c r="L94" s="5" t="n">
        <v>10</v>
      </c>
    </row>
    <row r="95" customFormat="false" ht="15" hidden="false" customHeight="true" outlineLevel="0" collapsed="false">
      <c r="A95" s="8" t="s">
        <v>234</v>
      </c>
      <c r="B95" s="8" t="s">
        <v>62</v>
      </c>
      <c r="C95" s="8" t="s">
        <v>22</v>
      </c>
      <c r="D95" s="8" t="s">
        <v>27</v>
      </c>
      <c r="E95" s="8" t="s">
        <v>43</v>
      </c>
      <c r="F95" s="8" t="n">
        <v>4</v>
      </c>
      <c r="G95" s="9" t="n">
        <v>120</v>
      </c>
      <c r="H95" s="9" t="n">
        <f aca="false">F95*G95</f>
        <v>480</v>
      </c>
      <c r="I95" s="10" t="n">
        <v>5</v>
      </c>
      <c r="J95" s="9" t="n">
        <f aca="false">H95*(1-I95/100)</f>
        <v>456</v>
      </c>
      <c r="K95" s="8" t="s">
        <v>81</v>
      </c>
      <c r="L95" s="8" t="n">
        <v>6</v>
      </c>
    </row>
    <row r="96" customFormat="false" ht="15" hidden="false" customHeight="true" outlineLevel="0" collapsed="false">
      <c r="A96" s="5" t="s">
        <v>235</v>
      </c>
      <c r="B96" s="5" t="s">
        <v>69</v>
      </c>
      <c r="C96" s="5" t="s">
        <v>32</v>
      </c>
      <c r="D96" s="5" t="s">
        <v>17</v>
      </c>
      <c r="E96" s="5" t="s">
        <v>23</v>
      </c>
      <c r="F96" s="5" t="n">
        <v>5</v>
      </c>
      <c r="G96" s="6" t="n">
        <v>280</v>
      </c>
      <c r="H96" s="6" t="n">
        <f aca="false">F96*G96</f>
        <v>1400</v>
      </c>
      <c r="I96" s="7" t="n">
        <v>10</v>
      </c>
      <c r="J96" s="6" t="n">
        <f aca="false">H96*(1-I96/100)</f>
        <v>1260</v>
      </c>
      <c r="K96" s="5" t="s">
        <v>236</v>
      </c>
      <c r="L96" s="5" t="n">
        <v>4</v>
      </c>
    </row>
    <row r="97" customFormat="false" ht="15" hidden="false" customHeight="true" outlineLevel="0" collapsed="false">
      <c r="A97" s="8" t="s">
        <v>237</v>
      </c>
      <c r="B97" s="8" t="s">
        <v>131</v>
      </c>
      <c r="C97" s="8" t="s">
        <v>26</v>
      </c>
      <c r="D97" s="8" t="s">
        <v>33</v>
      </c>
      <c r="E97" s="8" t="s">
        <v>80</v>
      </c>
      <c r="F97" s="8" t="n">
        <v>1</v>
      </c>
      <c r="G97" s="9" t="n">
        <v>30</v>
      </c>
      <c r="H97" s="9" t="n">
        <f aca="false">F97*G97</f>
        <v>30</v>
      </c>
      <c r="I97" s="10" t="n">
        <v>20</v>
      </c>
      <c r="J97" s="9" t="n">
        <f aca="false">H97*(1-I97/100)</f>
        <v>24</v>
      </c>
      <c r="K97" s="8" t="s">
        <v>238</v>
      </c>
      <c r="L97" s="8" t="n">
        <v>7</v>
      </c>
    </row>
    <row r="98" customFormat="false" ht="15" hidden="false" customHeight="true" outlineLevel="0" collapsed="false">
      <c r="A98" s="5" t="s">
        <v>239</v>
      </c>
      <c r="B98" s="5" t="s">
        <v>37</v>
      </c>
      <c r="C98" s="5" t="s">
        <v>26</v>
      </c>
      <c r="D98" s="5" t="s">
        <v>38</v>
      </c>
      <c r="E98" s="5" t="s">
        <v>174</v>
      </c>
      <c r="F98" s="5" t="n">
        <v>9</v>
      </c>
      <c r="G98" s="6" t="n">
        <v>25</v>
      </c>
      <c r="H98" s="6" t="n">
        <f aca="false">F98*G98</f>
        <v>225</v>
      </c>
      <c r="I98" s="7" t="n">
        <v>15</v>
      </c>
      <c r="J98" s="6" t="n">
        <f aca="false">H98*(1-I98/100)</f>
        <v>191.25</v>
      </c>
      <c r="K98" s="5" t="s">
        <v>240</v>
      </c>
      <c r="L98" s="5" t="n">
        <v>9</v>
      </c>
    </row>
    <row r="99" customFormat="false" ht="15" hidden="false" customHeight="true" outlineLevel="0" collapsed="false">
      <c r="A99" s="8" t="s">
        <v>241</v>
      </c>
      <c r="B99" s="8" t="s">
        <v>97</v>
      </c>
      <c r="C99" s="8" t="s">
        <v>32</v>
      </c>
      <c r="D99" s="8" t="s">
        <v>17</v>
      </c>
      <c r="E99" s="8" t="s">
        <v>23</v>
      </c>
      <c r="F99" s="8" t="n">
        <v>2</v>
      </c>
      <c r="G99" s="9" t="n">
        <v>280</v>
      </c>
      <c r="H99" s="9" t="n">
        <f aca="false">F99*G99</f>
        <v>560</v>
      </c>
      <c r="I99" s="10" t="n">
        <v>5</v>
      </c>
      <c r="J99" s="9" t="n">
        <f aca="false">H99*(1-I99/100)</f>
        <v>532</v>
      </c>
      <c r="K99" s="8" t="s">
        <v>242</v>
      </c>
      <c r="L99" s="8" t="n">
        <v>3</v>
      </c>
    </row>
    <row r="100" customFormat="false" ht="15" hidden="false" customHeight="true" outlineLevel="0" collapsed="false">
      <c r="A100" s="5" t="s">
        <v>243</v>
      </c>
      <c r="B100" s="5" t="s">
        <v>112</v>
      </c>
      <c r="C100" s="5" t="s">
        <v>22</v>
      </c>
      <c r="D100" s="5" t="s">
        <v>38</v>
      </c>
      <c r="E100" s="5" t="s">
        <v>174</v>
      </c>
      <c r="F100" s="5" t="n">
        <v>18</v>
      </c>
      <c r="G100" s="6" t="n">
        <v>25</v>
      </c>
      <c r="H100" s="6" t="n">
        <f aca="false">F100*G100</f>
        <v>450</v>
      </c>
      <c r="I100" s="7" t="n">
        <v>15</v>
      </c>
      <c r="J100" s="6" t="n">
        <f aca="false">H100*(1-I100/100)</f>
        <v>382.5</v>
      </c>
      <c r="K100" s="5" t="s">
        <v>221</v>
      </c>
      <c r="L100" s="5" t="n">
        <v>10</v>
      </c>
    </row>
    <row r="101" customFormat="false" ht="15" hidden="false" customHeight="true" outlineLevel="0" collapsed="false">
      <c r="A101" s="8" t="s">
        <v>244</v>
      </c>
      <c r="B101" s="8" t="s">
        <v>48</v>
      </c>
      <c r="C101" s="8" t="s">
        <v>16</v>
      </c>
      <c r="D101" s="8" t="s">
        <v>33</v>
      </c>
      <c r="E101" s="8" t="s">
        <v>101</v>
      </c>
      <c r="F101" s="8" t="n">
        <v>15</v>
      </c>
      <c r="G101" s="9" t="n">
        <v>32</v>
      </c>
      <c r="H101" s="9" t="n">
        <f aca="false">F101*G101</f>
        <v>480</v>
      </c>
      <c r="I101" s="10" t="n">
        <v>10</v>
      </c>
      <c r="J101" s="9" t="n">
        <f aca="false">H101*(1-I101/100)</f>
        <v>432</v>
      </c>
      <c r="K101" s="8" t="s">
        <v>245</v>
      </c>
      <c r="L101" s="8" t="n">
        <v>3</v>
      </c>
    </row>
    <row r="102" customFormat="false" ht="15" hidden="false" customHeight="true" outlineLevel="0" collapsed="false">
      <c r="A102" s="5" t="s">
        <v>246</v>
      </c>
      <c r="B102" s="5" t="s">
        <v>58</v>
      </c>
      <c r="C102" s="5" t="s">
        <v>16</v>
      </c>
      <c r="D102" s="5" t="s">
        <v>38</v>
      </c>
      <c r="E102" s="5" t="s">
        <v>39</v>
      </c>
      <c r="F102" s="5" t="n">
        <v>9</v>
      </c>
      <c r="G102" s="6" t="n">
        <v>60</v>
      </c>
      <c r="H102" s="6" t="n">
        <f aca="false">F102*G102</f>
        <v>540</v>
      </c>
      <c r="I102" s="7" t="n">
        <v>0</v>
      </c>
      <c r="J102" s="6" t="n">
        <f aca="false">H102*(1-I102/100)</f>
        <v>540</v>
      </c>
      <c r="K102" s="5" t="s">
        <v>247</v>
      </c>
      <c r="L102" s="5" t="n">
        <v>4</v>
      </c>
    </row>
    <row r="103" customFormat="false" ht="15" hidden="false" customHeight="true" outlineLevel="0" collapsed="false">
      <c r="A103" s="8" t="s">
        <v>248</v>
      </c>
      <c r="B103" s="8" t="s">
        <v>79</v>
      </c>
      <c r="C103" s="8" t="s">
        <v>22</v>
      </c>
      <c r="D103" s="8" t="s">
        <v>17</v>
      </c>
      <c r="E103" s="8" t="s">
        <v>83</v>
      </c>
      <c r="F103" s="8" t="n">
        <v>15</v>
      </c>
      <c r="G103" s="9" t="n">
        <v>150</v>
      </c>
      <c r="H103" s="9" t="n">
        <f aca="false">F103*G103</f>
        <v>2250</v>
      </c>
      <c r="I103" s="10" t="n">
        <v>20</v>
      </c>
      <c r="J103" s="9" t="n">
        <f aca="false">H103*(1-I103/100)</f>
        <v>1800</v>
      </c>
      <c r="K103" s="8" t="s">
        <v>249</v>
      </c>
      <c r="L103" s="8" t="n">
        <v>6</v>
      </c>
    </row>
  </sheetData>
  <autoFilter ref="A3:L10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5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250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11" t="s">
        <v>251</v>
      </c>
      <c r="B3" s="11" t="s">
        <v>252</v>
      </c>
      <c r="C3" s="11" t="s">
        <v>253</v>
      </c>
      <c r="E3" s="11" t="s">
        <v>4</v>
      </c>
      <c r="F3" s="11" t="s">
        <v>254</v>
      </c>
    </row>
    <row r="4" customFormat="false" ht="15" hidden="false" customHeight="true" outlineLevel="0" collapsed="false">
      <c r="A4" s="12" t="s">
        <v>255</v>
      </c>
      <c r="B4" s="5" t="n">
        <f aca="false">COUNTA('Raw Dataset'!A4:A103)</f>
        <v>100</v>
      </c>
      <c r="C4" s="5" t="s">
        <v>256</v>
      </c>
      <c r="E4" s="12" t="s">
        <v>16</v>
      </c>
      <c r="F4" s="6" t="n">
        <f aca="false">SUMIF('Raw Dataset'!C4:C103,E4,'Raw Dataset'!H4:H103)</f>
        <v>39751</v>
      </c>
    </row>
    <row r="5" customFormat="false" ht="15" hidden="false" customHeight="true" outlineLevel="0" collapsed="false">
      <c r="A5" s="13" t="s">
        <v>254</v>
      </c>
      <c r="B5" s="9" t="n">
        <f aca="false">SUM('Raw Dataset'!H4:H103)</f>
        <v>124021</v>
      </c>
      <c r="C5" s="8" t="s">
        <v>257</v>
      </c>
      <c r="E5" s="13" t="s">
        <v>22</v>
      </c>
      <c r="F5" s="9" t="n">
        <f aca="false">SUMIF('Raw Dataset'!C4:C103,E5,'Raw Dataset'!H4:H103)</f>
        <v>29231</v>
      </c>
    </row>
    <row r="6" customFormat="false" ht="15" hidden="false" customHeight="true" outlineLevel="0" collapsed="false">
      <c r="A6" s="12" t="s">
        <v>258</v>
      </c>
      <c r="B6" s="6" t="n">
        <f aca="false">SUM('Raw Dataset'!J4:J103)</f>
        <v>112780.4</v>
      </c>
      <c r="C6" s="5" t="s">
        <v>257</v>
      </c>
      <c r="E6" s="12" t="s">
        <v>32</v>
      </c>
      <c r="F6" s="6" t="n">
        <f aca="false">SUMIF('Raw Dataset'!C4:C103,E6,'Raw Dataset'!H4:H103)</f>
        <v>44630</v>
      </c>
    </row>
    <row r="7" customFormat="false" ht="15" hidden="false" customHeight="true" outlineLevel="0" collapsed="false">
      <c r="A7" s="13" t="s">
        <v>259</v>
      </c>
      <c r="B7" s="9" t="n">
        <f aca="false">AVERAGE('Raw Dataset'!H4:H103)</f>
        <v>1240.21</v>
      </c>
      <c r="C7" s="8" t="s">
        <v>260</v>
      </c>
      <c r="E7" s="13" t="s">
        <v>26</v>
      </c>
      <c r="F7" s="9" t="n">
        <f aca="false">SUMIF('Raw Dataset'!C4:C103,E7,'Raw Dataset'!H4:H103)</f>
        <v>10409</v>
      </c>
    </row>
    <row r="8" customFormat="false" ht="15" hidden="false" customHeight="true" outlineLevel="0" collapsed="false">
      <c r="A8" s="12" t="s">
        <v>261</v>
      </c>
      <c r="B8" s="6" t="n">
        <f aca="false">MAX('Raw Dataset'!H4:H103)</f>
        <v>15300</v>
      </c>
      <c r="C8" s="5" t="s">
        <v>262</v>
      </c>
    </row>
    <row r="9" customFormat="false" ht="15" hidden="false" customHeight="true" outlineLevel="0" collapsed="false">
      <c r="A9" s="13" t="s">
        <v>263</v>
      </c>
      <c r="B9" s="9" t="n">
        <f aca="false">MIN('Raw Dataset'!H4:H103)</f>
        <v>30</v>
      </c>
      <c r="C9" s="8" t="s">
        <v>264</v>
      </c>
    </row>
    <row r="10" customFormat="false" ht="15" hidden="false" customHeight="true" outlineLevel="0" collapsed="false">
      <c r="A10" s="12" t="s">
        <v>265</v>
      </c>
      <c r="B10" s="14" t="n">
        <f aca="false">AVERAGE('Raw Dataset'!I4:I103)</f>
        <v>9.85</v>
      </c>
      <c r="C10" s="5" t="s">
        <v>260</v>
      </c>
    </row>
    <row r="11" customFormat="false" ht="15" hidden="false" customHeight="true" outlineLevel="0" collapsed="false">
      <c r="A11" s="13" t="s">
        <v>266</v>
      </c>
      <c r="B11" s="8" t="n">
        <f aca="false">AVERAGE('Raw Dataset'!L4:L103)</f>
        <v>6.35</v>
      </c>
      <c r="C11" s="8" t="s">
        <v>260</v>
      </c>
    </row>
    <row r="12" customFormat="false" ht="15" hidden="false" customHeight="true" outlineLevel="0" collapsed="false">
      <c r="A12" s="12" t="s">
        <v>267</v>
      </c>
      <c r="B12" s="6" t="n">
        <f aca="false">MEDIAN('Raw Dataset'!H4:H103)</f>
        <v>555.5</v>
      </c>
      <c r="C12" s="5" t="s">
        <v>268</v>
      </c>
    </row>
    <row r="13" customFormat="false" ht="15" hidden="false" customHeight="true" outlineLevel="0" collapsed="false">
      <c r="A13" s="13" t="s">
        <v>269</v>
      </c>
      <c r="B13" s="9" t="n">
        <f aca="false">STDEV('Raw Dataset'!H4:H103)</f>
        <v>2102.18976882236</v>
      </c>
      <c r="C13" s="8" t="s">
        <v>270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5"/>
    <col collapsed="false" customWidth="true" hidden="false" outlineLevel="0" max="3" min="3" style="1" width="35"/>
    <col collapsed="false" customWidth="true" hidden="false" outlineLevel="0" max="4" min="4" style="1" width="30"/>
  </cols>
  <sheetData>
    <row r="1" customFormat="false" ht="30" hidden="false" customHeight="true" outlineLevel="0" collapsed="false">
      <c r="A1" s="2" t="s">
        <v>271</v>
      </c>
      <c r="B1" s="2"/>
      <c r="C1" s="2"/>
      <c r="D1" s="2"/>
    </row>
    <row r="3" customFormat="false" ht="15" hidden="false" customHeight="true" outlineLevel="0" collapsed="false">
      <c r="A3" s="4" t="s">
        <v>272</v>
      </c>
      <c r="B3" s="4" t="s">
        <v>273</v>
      </c>
      <c r="C3" s="4" t="s">
        <v>274</v>
      </c>
      <c r="D3" s="4" t="s">
        <v>275</v>
      </c>
    </row>
    <row r="4" customFormat="false" ht="21.75" hidden="false" customHeight="true" outlineLevel="0" collapsed="false">
      <c r="A4" s="15" t="s">
        <v>276</v>
      </c>
      <c r="B4" s="15"/>
      <c r="C4" s="15"/>
      <c r="D4" s="15"/>
    </row>
    <row r="5" customFormat="false" ht="39.75" hidden="false" customHeight="true" outlineLevel="0" collapsed="false">
      <c r="A5" s="13" t="s">
        <v>277</v>
      </c>
      <c r="B5" s="16" t="s">
        <v>278</v>
      </c>
      <c r="C5" s="16" t="s">
        <v>279</v>
      </c>
      <c r="D5" s="16"/>
    </row>
    <row r="6" customFormat="false" ht="39.75" hidden="false" customHeight="true" outlineLevel="0" collapsed="false">
      <c r="A6" s="12" t="s">
        <v>280</v>
      </c>
      <c r="B6" s="17" t="s">
        <v>281</v>
      </c>
      <c r="C6" s="17" t="s">
        <v>282</v>
      </c>
      <c r="D6" s="17"/>
    </row>
    <row r="7" customFormat="false" ht="39.75" hidden="false" customHeight="true" outlineLevel="0" collapsed="false">
      <c r="A7" s="13" t="s">
        <v>283</v>
      </c>
      <c r="B7" s="16" t="s">
        <v>284</v>
      </c>
      <c r="C7" s="16" t="s">
        <v>285</v>
      </c>
      <c r="D7" s="16"/>
    </row>
    <row r="8" customFormat="false" ht="39.75" hidden="false" customHeight="true" outlineLevel="0" collapsed="false">
      <c r="A8" s="12" t="s">
        <v>286</v>
      </c>
      <c r="B8" s="17" t="s">
        <v>287</v>
      </c>
      <c r="C8" s="17" t="s">
        <v>288</v>
      </c>
      <c r="D8" s="17"/>
    </row>
    <row r="9" customFormat="false" ht="39.75" hidden="false" customHeight="true" outlineLevel="0" collapsed="false">
      <c r="A9" s="13" t="s">
        <v>289</v>
      </c>
      <c r="B9" s="16" t="s">
        <v>290</v>
      </c>
      <c r="C9" s="16" t="s">
        <v>291</v>
      </c>
      <c r="D9" s="16"/>
    </row>
    <row r="10" customFormat="false" ht="21.75" hidden="false" customHeight="true" outlineLevel="0" collapsed="false">
      <c r="A10" s="15" t="s">
        <v>292</v>
      </c>
      <c r="B10" s="15"/>
      <c r="C10" s="15"/>
      <c r="D10" s="15"/>
    </row>
    <row r="11" customFormat="false" ht="39.75" hidden="false" customHeight="true" outlineLevel="0" collapsed="false">
      <c r="A11" s="13" t="s">
        <v>293</v>
      </c>
      <c r="B11" s="16" t="s">
        <v>294</v>
      </c>
      <c r="C11" s="16" t="s">
        <v>295</v>
      </c>
      <c r="D11" s="16"/>
    </row>
    <row r="12" customFormat="false" ht="39.75" hidden="false" customHeight="true" outlineLevel="0" collapsed="false">
      <c r="A12" s="12" t="s">
        <v>296</v>
      </c>
      <c r="B12" s="17" t="s">
        <v>297</v>
      </c>
      <c r="C12" s="17" t="s">
        <v>298</v>
      </c>
      <c r="D12" s="17"/>
    </row>
    <row r="13" customFormat="false" ht="39.75" hidden="false" customHeight="true" outlineLevel="0" collapsed="false">
      <c r="A13" s="13" t="s">
        <v>299</v>
      </c>
      <c r="B13" s="16" t="s">
        <v>300</v>
      </c>
      <c r="C13" s="16" t="s">
        <v>301</v>
      </c>
      <c r="D13" s="16"/>
    </row>
    <row r="14" customFormat="false" ht="39.75" hidden="false" customHeight="true" outlineLevel="0" collapsed="false">
      <c r="A14" s="12" t="s">
        <v>302</v>
      </c>
      <c r="B14" s="17" t="s">
        <v>303</v>
      </c>
      <c r="C14" s="17" t="s">
        <v>304</v>
      </c>
      <c r="D14" s="17"/>
    </row>
    <row r="15" customFormat="false" ht="39.75" hidden="false" customHeight="true" outlineLevel="0" collapsed="false">
      <c r="A15" s="13" t="s">
        <v>305</v>
      </c>
      <c r="B15" s="16" t="s">
        <v>306</v>
      </c>
      <c r="C15" s="16" t="s">
        <v>307</v>
      </c>
      <c r="D15" s="16"/>
    </row>
    <row r="16" customFormat="false" ht="21.75" hidden="false" customHeight="true" outlineLevel="0" collapsed="false">
      <c r="A16" s="15" t="s">
        <v>308</v>
      </c>
      <c r="B16" s="15"/>
      <c r="C16" s="15"/>
      <c r="D16" s="15"/>
    </row>
    <row r="17" customFormat="false" ht="39.75" hidden="false" customHeight="true" outlineLevel="0" collapsed="false">
      <c r="A17" s="13" t="s">
        <v>309</v>
      </c>
      <c r="B17" s="16" t="s">
        <v>310</v>
      </c>
      <c r="C17" s="16" t="s">
        <v>311</v>
      </c>
      <c r="D17" s="16"/>
    </row>
    <row r="18" customFormat="false" ht="39.75" hidden="false" customHeight="true" outlineLevel="0" collapsed="false">
      <c r="A18" s="12" t="s">
        <v>312</v>
      </c>
      <c r="B18" s="17" t="s">
        <v>313</v>
      </c>
      <c r="C18" s="17" t="s">
        <v>314</v>
      </c>
      <c r="D18" s="17"/>
    </row>
    <row r="19" customFormat="false" ht="39.75" hidden="false" customHeight="true" outlineLevel="0" collapsed="false">
      <c r="A19" s="13" t="s">
        <v>315</v>
      </c>
      <c r="B19" s="16" t="s">
        <v>316</v>
      </c>
      <c r="C19" s="16" t="s">
        <v>317</v>
      </c>
      <c r="D19" s="16"/>
    </row>
    <row r="20" customFormat="false" ht="39.75" hidden="false" customHeight="true" outlineLevel="0" collapsed="false">
      <c r="A20" s="12" t="s">
        <v>318</v>
      </c>
      <c r="B20" s="17" t="s">
        <v>319</v>
      </c>
      <c r="C20" s="17" t="s">
        <v>320</v>
      </c>
      <c r="D20" s="17"/>
    </row>
    <row r="21" customFormat="false" ht="39.75" hidden="false" customHeight="true" outlineLevel="0" collapsed="false">
      <c r="A21" s="13" t="s">
        <v>321</v>
      </c>
      <c r="B21" s="16" t="s">
        <v>322</v>
      </c>
      <c r="C21" s="16" t="s">
        <v>323</v>
      </c>
      <c r="D21" s="16"/>
    </row>
  </sheetData>
  <mergeCells count="4">
    <mergeCell ref="A1:D1"/>
    <mergeCell ref="A4:D4"/>
    <mergeCell ref="A10:D10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32"/>
  </cols>
  <sheetData>
    <row r="1" customFormat="false" ht="30" hidden="false" customHeight="true" outlineLevel="0" collapsed="false">
      <c r="A1" s="2" t="s">
        <v>324</v>
      </c>
      <c r="B1" s="2"/>
      <c r="C1" s="2"/>
      <c r="D1" s="2"/>
      <c r="E1" s="2"/>
    </row>
    <row r="3" customFormat="false" ht="21.75" hidden="false" customHeight="true" outlineLevel="0" collapsed="false">
      <c r="A3" s="4" t="s">
        <v>325</v>
      </c>
      <c r="B3" s="4" t="s">
        <v>326</v>
      </c>
      <c r="C3" s="4" t="s">
        <v>327</v>
      </c>
      <c r="D3" s="4" t="s">
        <v>328</v>
      </c>
      <c r="E3" s="4" t="s">
        <v>329</v>
      </c>
    </row>
    <row r="4" customFormat="false" ht="31.5" hidden="false" customHeight="true" outlineLevel="0" collapsed="false">
      <c r="A4" s="18" t="s">
        <v>2</v>
      </c>
      <c r="B4" s="17" t="s">
        <v>330</v>
      </c>
      <c r="C4" s="17" t="s">
        <v>331</v>
      </c>
      <c r="D4" s="17" t="s">
        <v>14</v>
      </c>
      <c r="E4" s="17" t="s">
        <v>332</v>
      </c>
    </row>
    <row r="5" customFormat="false" ht="31.5" hidden="false" customHeight="true" outlineLevel="0" collapsed="false">
      <c r="A5" s="19" t="s">
        <v>3</v>
      </c>
      <c r="B5" s="16" t="s">
        <v>330</v>
      </c>
      <c r="C5" s="16" t="s">
        <v>333</v>
      </c>
      <c r="D5" s="16" t="s">
        <v>79</v>
      </c>
      <c r="E5" s="16" t="s">
        <v>334</v>
      </c>
    </row>
    <row r="6" customFormat="false" ht="31.5" hidden="false" customHeight="true" outlineLevel="0" collapsed="false">
      <c r="A6" s="18" t="s">
        <v>4</v>
      </c>
      <c r="B6" s="17" t="s">
        <v>330</v>
      </c>
      <c r="C6" s="17" t="s">
        <v>335</v>
      </c>
      <c r="D6" s="17" t="s">
        <v>16</v>
      </c>
      <c r="E6" s="17" t="s">
        <v>336</v>
      </c>
    </row>
    <row r="7" customFormat="false" ht="31.5" hidden="false" customHeight="true" outlineLevel="0" collapsed="false">
      <c r="A7" s="19" t="s">
        <v>5</v>
      </c>
      <c r="B7" s="16" t="s">
        <v>330</v>
      </c>
      <c r="C7" s="16" t="s">
        <v>337</v>
      </c>
      <c r="D7" s="16" t="s">
        <v>17</v>
      </c>
      <c r="E7" s="16" t="s">
        <v>338</v>
      </c>
    </row>
    <row r="8" customFormat="false" ht="31.5" hidden="false" customHeight="true" outlineLevel="0" collapsed="false">
      <c r="A8" s="18" t="s">
        <v>6</v>
      </c>
      <c r="B8" s="17" t="s">
        <v>330</v>
      </c>
      <c r="C8" s="17" t="s">
        <v>339</v>
      </c>
      <c r="D8" s="17" t="s">
        <v>18</v>
      </c>
      <c r="E8" s="17" t="s">
        <v>340</v>
      </c>
    </row>
    <row r="9" customFormat="false" ht="31.5" hidden="false" customHeight="true" outlineLevel="0" collapsed="false">
      <c r="A9" s="19" t="s">
        <v>7</v>
      </c>
      <c r="B9" s="16" t="s">
        <v>341</v>
      </c>
      <c r="C9" s="16" t="s">
        <v>342</v>
      </c>
      <c r="D9" s="16" t="s">
        <v>289</v>
      </c>
      <c r="E9" s="16" t="s">
        <v>343</v>
      </c>
    </row>
    <row r="10" customFormat="false" ht="31.5" hidden="false" customHeight="true" outlineLevel="0" collapsed="false">
      <c r="A10" s="18" t="s">
        <v>8</v>
      </c>
      <c r="B10" s="17" t="s">
        <v>344</v>
      </c>
      <c r="C10" s="17" t="s">
        <v>345</v>
      </c>
      <c r="D10" s="17" t="s">
        <v>346</v>
      </c>
      <c r="E10" s="17" t="s">
        <v>347</v>
      </c>
    </row>
    <row r="11" customFormat="false" ht="31.5" hidden="false" customHeight="true" outlineLevel="0" collapsed="false">
      <c r="A11" s="19" t="s">
        <v>9</v>
      </c>
      <c r="B11" s="16" t="s">
        <v>348</v>
      </c>
      <c r="C11" s="16" t="s">
        <v>349</v>
      </c>
      <c r="D11" s="16" t="s">
        <v>350</v>
      </c>
      <c r="E11" s="16" t="s">
        <v>351</v>
      </c>
    </row>
    <row r="12" customFormat="false" ht="31.5" hidden="false" customHeight="true" outlineLevel="0" collapsed="false">
      <c r="A12" s="18" t="s">
        <v>10</v>
      </c>
      <c r="B12" s="17" t="s">
        <v>341</v>
      </c>
      <c r="C12" s="17" t="s">
        <v>352</v>
      </c>
      <c r="D12" s="17" t="s">
        <v>305</v>
      </c>
      <c r="E12" s="17" t="s">
        <v>353</v>
      </c>
    </row>
    <row r="13" customFormat="false" ht="31.5" hidden="false" customHeight="true" outlineLevel="0" collapsed="false">
      <c r="A13" s="19" t="s">
        <v>11</v>
      </c>
      <c r="B13" s="16" t="s">
        <v>348</v>
      </c>
      <c r="C13" s="16" t="s">
        <v>354</v>
      </c>
      <c r="D13" s="16" t="s">
        <v>355</v>
      </c>
      <c r="E13" s="16" t="s">
        <v>356</v>
      </c>
    </row>
    <row r="14" customFormat="false" ht="31.5" hidden="false" customHeight="true" outlineLevel="0" collapsed="false">
      <c r="A14" s="18" t="s">
        <v>12</v>
      </c>
      <c r="B14" s="17" t="s">
        <v>357</v>
      </c>
      <c r="C14" s="17" t="s">
        <v>358</v>
      </c>
      <c r="D14" s="17" t="s">
        <v>359</v>
      </c>
      <c r="E14" s="17" t="s">
        <v>360</v>
      </c>
    </row>
    <row r="15" customFormat="false" ht="31.5" hidden="false" customHeight="true" outlineLevel="0" collapsed="false">
      <c r="A15" s="19" t="s">
        <v>13</v>
      </c>
      <c r="B15" s="16" t="s">
        <v>341</v>
      </c>
      <c r="C15" s="16" t="s">
        <v>361</v>
      </c>
      <c r="D15" s="16" t="s">
        <v>289</v>
      </c>
      <c r="E15" s="16" t="s">
        <v>362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2026-04-26T18:51:36Z</dcterms:created>
  <dc:creator>openpyxl</dc:creator>
  <dc:description/>
  <dc:language>en-US</dc:language>
  <cp:lastModifiedBy/>
  <dcterms:modified xsi:type="dcterms:W3CDTF">2026-04-26T18:52:39Z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